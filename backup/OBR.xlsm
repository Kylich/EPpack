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Drive\access\EMS\"/>
    </mc:Choice>
  </mc:AlternateContent>
  <bookViews>
    <workbookView xWindow="0" yWindow="0" windowWidth="22260" windowHeight="12645"/>
  </bookViews>
  <sheets>
    <sheet name="Main" sheetId="2" r:id="rId1"/>
    <sheet name="Formuls" sheetId="3" r:id="rId2"/>
    <sheet name="111" sheetId="4" r:id="rId3"/>
  </sheets>
  <functionGroups builtInGroupCount="18"/>
  <definedNames>
    <definedName name="EMS.accdb" localSheetId="1" hidden="1">Formuls!#REF!</definedName>
    <definedName name="EMS.accdb_1" localSheetId="1" hidden="1">Formuls!#REF!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3" l="1"/>
  <c r="B10" i="3"/>
  <c r="B9" i="3"/>
  <c r="B8" i="3"/>
  <c r="B7" i="3"/>
  <c r="B6" i="3"/>
  <c r="B5" i="3"/>
  <c r="B4" i="3"/>
  <c r="B3" i="3"/>
  <c r="B2" i="3"/>
  <c r="F19" i="2"/>
  <c r="E19" i="2"/>
  <c r="D19" i="2"/>
  <c r="C19" i="2"/>
  <c r="B19" i="2"/>
  <c r="F18" i="2"/>
  <c r="E18" i="2"/>
  <c r="D18" i="2"/>
  <c r="C18" i="2"/>
  <c r="B18" i="2"/>
  <c r="F17" i="2"/>
  <c r="E17" i="2"/>
  <c r="D17" i="2"/>
  <c r="C17" i="2"/>
  <c r="B17" i="2"/>
  <c r="F16" i="2"/>
  <c r="E16" i="2"/>
  <c r="D16" i="2"/>
  <c r="C16" i="2"/>
  <c r="B16" i="2"/>
  <c r="F15" i="2"/>
  <c r="E15" i="2"/>
  <c r="D15" i="2"/>
  <c r="C15" i="2"/>
  <c r="B15" i="2"/>
  <c r="F14" i="2"/>
  <c r="E14" i="2"/>
  <c r="D14" i="2"/>
  <c r="C14" i="2"/>
  <c r="B14" i="2"/>
  <c r="F13" i="2"/>
  <c r="E13" i="2"/>
  <c r="D13" i="2"/>
  <c r="C13" i="2"/>
  <c r="B13" i="2"/>
  <c r="F12" i="2"/>
  <c r="E12" i="2"/>
  <c r="D12" i="2"/>
  <c r="C12" i="2"/>
  <c r="B12" i="2"/>
  <c r="F11" i="2"/>
  <c r="E11" i="2"/>
  <c r="D11" i="2"/>
  <c r="C11" i="2"/>
  <c r="B11" i="2"/>
  <c r="F10" i="2"/>
  <c r="E10" i="2"/>
  <c r="D10" i="2"/>
  <c r="C10" i="2"/>
  <c r="B10" i="2"/>
  <c r="A2" i="2"/>
  <c r="B12" i="3" l="1"/>
  <c r="A7" i="2" s="1"/>
  <c r="F20" i="2"/>
</calcChain>
</file>

<file path=xl/sharedStrings.xml><?xml version="1.0" encoding="utf-8"?>
<sst xmlns="http://schemas.openxmlformats.org/spreadsheetml/2006/main" count="59" uniqueCount="58">
  <si>
    <t>Образец списка ф. 103</t>
  </si>
  <si>
    <t>к Порядку оформления сопроводительных</t>
  </si>
  <si>
    <t>документов при приеме внутренних</t>
  </si>
  <si>
    <t xml:space="preserve">Вид и категория РПО: Обыкновенные отправления EMS </t>
  </si>
  <si>
    <t>партионных почтовых отправлений</t>
  </si>
  <si>
    <t>Отправитель: "Экспресс-почта" Лиговский пр 50 кор 12 тел.633-02-25 дог. 7800117Ф</t>
  </si>
  <si>
    <t>Наименование и индекс места приема: Санкт-Петербургский EMS Сортировочный центр 190880</t>
  </si>
  <si>
    <t>Всего листов: 1      Лист: 1</t>
  </si>
  <si>
    <t>Адресат (Ф.И.О./наименование)</t>
  </si>
  <si>
    <t>Адрес назначения</t>
  </si>
  <si>
    <t>ШПИ</t>
  </si>
  <si>
    <t>Вес, (кг.)</t>
  </si>
  <si>
    <t>Примечание</t>
  </si>
  <si>
    <t>1</t>
  </si>
  <si>
    <t>2</t>
  </si>
  <si>
    <t>3</t>
  </si>
  <si>
    <t>4</t>
  </si>
  <si>
    <t>5</t>
  </si>
  <si>
    <t>б</t>
  </si>
  <si>
    <t>7</t>
  </si>
  <si>
    <t>Итого:</t>
  </si>
  <si>
    <t>Сдал: кладовщик Куликов Никита Сергеевич</t>
  </si>
  <si>
    <t>Принял:_______________________________________</t>
  </si>
  <si>
    <r>
      <t xml:space="preserve">(оттиск </t>
    </r>
    <r>
      <rPr>
        <sz val="8"/>
        <rFont val="Times New Roman"/>
        <family val="1"/>
        <charset val="204"/>
      </rPr>
      <t>KП</t>
    </r>
    <r>
      <rPr>
        <sz val="8"/>
        <rFont val="Times New Roman"/>
        <family val="1"/>
        <charset val="204"/>
      </rPr>
      <t>Ш ОПС места приема)</t>
    </r>
  </si>
  <si>
    <t xml:space="preserve">      (должность)</t>
  </si>
  <si>
    <t>________________________________________</t>
  </si>
  <si>
    <t xml:space="preserve">         _________________________________________</t>
  </si>
  <si>
    <t>(подпись)</t>
  </si>
  <si>
    <t xml:space="preserve">      (подпись)</t>
  </si>
  <si>
    <t>Лист №1</t>
  </si>
  <si>
    <t xml:space="preserve">        _________________________________________</t>
  </si>
  <si>
    <t>есть текст?</t>
  </si>
  <si>
    <t>1 строка</t>
  </si>
  <si>
    <t>2 строка</t>
  </si>
  <si>
    <t>3 строка</t>
  </si>
  <si>
    <t>4 строка</t>
  </si>
  <si>
    <t>5 строка</t>
  </si>
  <si>
    <t>6 строка</t>
  </si>
  <si>
    <t>7 строка</t>
  </si>
  <si>
    <t>8 строка</t>
  </si>
  <si>
    <t>9 строка</t>
  </si>
  <si>
    <t>10 строка</t>
  </si>
  <si>
    <t xml:space="preserve">Всего РПО: </t>
  </si>
  <si>
    <t>NN</t>
  </si>
  <si>
    <t>numEP</t>
  </si>
  <si>
    <t>CMPiNAME</t>
  </si>
  <si>
    <t>Index</t>
  </si>
  <si>
    <t>ADR + TEL</t>
  </si>
  <si>
    <t>Ves</t>
  </si>
  <si>
    <t>Data</t>
  </si>
  <si>
    <t>Baza</t>
  </si>
  <si>
    <t>KAR</t>
  </si>
  <si>
    <t>№№</t>
  </si>
  <si>
    <t>Индекс</t>
  </si>
  <si>
    <t>1916050</t>
  </si>
  <si>
    <t>шертсенникова галина</t>
  </si>
  <si>
    <t>613216</t>
  </si>
  <si>
    <t>Кировская обл, Белохолуницкий р-н, Прокопье с, Новая ул, дом № 27 / 89127306735; 89195087125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</si>
</sst>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-mmm\-yy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2.5"/>
      <name val="Times New Roman"/>
      <family val="1"/>
      <charset val="204"/>
    </font>
    <font>
      <sz val="10"/>
      <name val="Times New Roman"/>
      <family val="1"/>
      <charset val="204"/>
    </font>
    <font>
      <b/>
      <sz val="11"/>
      <name val="Times New Roman"/>
      <family val="1"/>
      <charset val="204"/>
    </font>
    <font>
      <sz val="9"/>
      <name val="Times New Roman"/>
      <family val="1"/>
      <charset val="204"/>
    </font>
    <font>
      <sz val="7"/>
      <name val="Times New Roman"/>
      <family val="1"/>
      <charset val="204"/>
    </font>
    <font>
      <sz val="11"/>
      <name val="Arial"/>
      <family val="2"/>
      <charset val="204"/>
    </font>
    <font>
      <sz val="14"/>
      <name val="Arial"/>
      <family val="2"/>
      <charset val="204"/>
    </font>
    <font>
      <sz val="8"/>
      <name val="Times New Roman"/>
      <family val="1"/>
      <charset val="204"/>
    </font>
    <font>
      <sz val="8"/>
      <name val="Arial"/>
      <family val="2"/>
      <charset val="204"/>
    </font>
    <font>
      <sz val="11"/>
      <name val="Times New Roman"/>
      <family val="1"/>
      <charset val="204"/>
    </font>
    <font>
      <sz val="12"/>
      <name val="Arial"/>
      <family val="2"/>
      <charset val="204"/>
    </font>
    <font>
      <b/>
      <sz val="11"/>
      <color rgb="FF000000"/>
      <name val="Calibri"/>
      <charset val="204"/>
    </font>
    <font>
      <sz val="11"/>
      <color rgb="FF000000"/>
      <name val="Calibri"/>
      <charset val="204"/>
    </font>
  </fonts>
  <fills count="3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</fills>
  <borders count="23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ont="0" applyFill="0" applyBorder="0" applyAlignment="0" applyProtection="0">
      <alignment vertical="top"/>
    </xf>
  </cellStyleXfs>
  <cellXfs count="70">
    <xf numFmtId="0" fontId="0" fillId="0" borderId="0" xfId="0"/>
    <xf numFmtId="0" fontId="2" fillId="0" borderId="0" xfId="1" applyNumberFormat="1" applyFont="1" applyFill="1" applyBorder="1" applyAlignment="1" applyProtection="1">
      <alignment vertical="top"/>
    </xf>
    <xf numFmtId="0" fontId="3" fillId="0" borderId="0" xfId="1" applyNumberFormat="1" applyFont="1" applyFill="1" applyBorder="1" applyAlignment="1" applyProtection="1">
      <alignment vertical="center"/>
    </xf>
    <xf numFmtId="0" fontId="4" fillId="0" borderId="0" xfId="1" applyNumberFormat="1" applyFont="1" applyFill="1" applyBorder="1" applyAlignment="1" applyProtection="1">
      <alignment vertical="top"/>
    </xf>
    <xf numFmtId="14" fontId="5" fillId="0" borderId="0" xfId="1" applyNumberFormat="1" applyFont="1" applyFill="1" applyBorder="1" applyAlignment="1" applyProtection="1">
      <alignment horizontal="left" vertical="center"/>
    </xf>
    <xf numFmtId="0" fontId="5" fillId="0" borderId="0" xfId="1" applyNumberFormat="1" applyFont="1" applyFill="1" applyBorder="1" applyAlignment="1" applyProtection="1">
      <alignment vertical="center"/>
    </xf>
    <xf numFmtId="0" fontId="4" fillId="0" borderId="1" xfId="1" applyNumberFormat="1" applyFont="1" applyFill="1" applyBorder="1" applyAlignment="1" applyProtection="1">
      <alignment horizontal="left" vertical="top"/>
    </xf>
    <xf numFmtId="0" fontId="4" fillId="0" borderId="1" xfId="1" applyNumberFormat="1" applyFont="1" applyFill="1" applyBorder="1" applyAlignment="1" applyProtection="1">
      <alignment horizontal="center" vertical="top"/>
    </xf>
    <xf numFmtId="0" fontId="2" fillId="0" borderId="0" xfId="1" applyNumberFormat="1" applyFont="1" applyFill="1" applyBorder="1" applyAlignment="1" applyProtection="1">
      <alignment horizontal="center" vertical="center"/>
    </xf>
    <xf numFmtId="0" fontId="8" fillId="0" borderId="6" xfId="1" applyFont="1" applyBorder="1" applyAlignment="1">
      <alignment vertical="center" wrapText="1"/>
    </xf>
    <xf numFmtId="1" fontId="9" fillId="0" borderId="6" xfId="1" applyNumberFormat="1" applyFont="1" applyBorder="1" applyAlignment="1">
      <alignment horizontal="center" vertical="center" wrapText="1"/>
    </xf>
    <xf numFmtId="0" fontId="6" fillId="0" borderId="6" xfId="1" applyNumberFormat="1" applyFont="1" applyBorder="1" applyAlignment="1">
      <alignment horizontal="left" vertical="center" wrapText="1"/>
    </xf>
    <xf numFmtId="0" fontId="2" fillId="0" borderId="5" xfId="1" applyNumberFormat="1" applyFont="1" applyFill="1" applyBorder="1" applyAlignment="1" applyProtection="1">
      <alignment horizontal="center" vertical="center"/>
    </xf>
    <xf numFmtId="0" fontId="10" fillId="0" borderId="0" xfId="1" applyNumberFormat="1" applyFont="1" applyFill="1" applyBorder="1" applyAlignment="1" applyProtection="1">
      <alignment horizontal="center" vertical="center"/>
    </xf>
    <xf numFmtId="0" fontId="11" fillId="0" borderId="0" xfId="1" applyNumberFormat="1" applyFont="1" applyFill="1" applyBorder="1" applyAlignment="1" applyProtection="1">
      <alignment horizontal="center"/>
    </xf>
    <xf numFmtId="0" fontId="11" fillId="0" borderId="0" xfId="1" applyNumberFormat="1" applyFont="1" applyFill="1" applyBorder="1" applyAlignment="1" applyProtection="1">
      <alignment horizontal="center" vertical="center" wrapText="1"/>
    </xf>
    <xf numFmtId="0" fontId="10" fillId="0" borderId="11" xfId="1" applyNumberFormat="1" applyFont="1" applyFill="1" applyBorder="1" applyAlignment="1" applyProtection="1">
      <alignment horizontal="center" vertical="center"/>
    </xf>
    <xf numFmtId="0" fontId="10" fillId="0" borderId="11" xfId="1" applyNumberFormat="1" applyFont="1" applyFill="1" applyBorder="1" applyAlignment="1" applyProtection="1">
      <alignment vertical="center"/>
    </xf>
    <xf numFmtId="0" fontId="10" fillId="0" borderId="12" xfId="1" applyNumberFormat="1" applyFont="1" applyFill="1" applyBorder="1" applyAlignment="1" applyProtection="1">
      <alignment vertical="center"/>
    </xf>
    <xf numFmtId="0" fontId="11" fillId="0" borderId="0" xfId="1" applyNumberFormat="1" applyFont="1" applyFill="1" applyBorder="1" applyAlignment="1" applyProtection="1">
      <alignment vertical="top"/>
    </xf>
    <xf numFmtId="0" fontId="10" fillId="0" borderId="0" xfId="1" applyNumberFormat="1" applyFont="1" applyFill="1" applyBorder="1" applyAlignment="1" applyProtection="1">
      <alignment horizontal="center"/>
    </xf>
    <xf numFmtId="0" fontId="10" fillId="0" borderId="0" xfId="1" applyNumberFormat="1" applyFont="1" applyFill="1" applyBorder="1" applyAlignment="1" applyProtection="1">
      <alignment horizontal="center" vertical="top"/>
    </xf>
    <xf numFmtId="0" fontId="10" fillId="0" borderId="14" xfId="1" applyNumberFormat="1" applyFont="1" applyFill="1" applyBorder="1" applyAlignment="1" applyProtection="1">
      <alignment horizontal="center" vertical="top"/>
    </xf>
    <xf numFmtId="0" fontId="10" fillId="0" borderId="0" xfId="1" applyNumberFormat="1" applyFont="1" applyFill="1" applyBorder="1" applyAlignment="1" applyProtection="1">
      <alignment vertical="center" wrapText="1"/>
    </xf>
    <xf numFmtId="0" fontId="11" fillId="0" borderId="0" xfId="1" applyNumberFormat="1" applyFont="1" applyFill="1" applyBorder="1" applyAlignment="1" applyProtection="1">
      <alignment horizontal="center" vertical="center"/>
    </xf>
    <xf numFmtId="0" fontId="11" fillId="0" borderId="14" xfId="1" applyNumberFormat="1" applyFont="1" applyFill="1" applyBorder="1" applyAlignment="1" applyProtection="1">
      <alignment vertical="top"/>
    </xf>
    <xf numFmtId="0" fontId="10" fillId="0" borderId="0" xfId="1" applyNumberFormat="1" applyFont="1" applyFill="1" applyBorder="1" applyAlignment="1" applyProtection="1">
      <alignment vertical="top"/>
    </xf>
    <xf numFmtId="0" fontId="1" fillId="0" borderId="0" xfId="1" applyNumberFormat="1" applyFont="1" applyFill="1" applyBorder="1" applyAlignment="1" applyProtection="1">
      <alignment vertical="top"/>
    </xf>
    <xf numFmtId="0" fontId="11" fillId="0" borderId="0" xfId="1" applyNumberFormat="1" applyFont="1" applyFill="1" applyBorder="1" applyAlignment="1" applyProtection="1">
      <alignment horizontal="center" vertical="top"/>
    </xf>
    <xf numFmtId="2" fontId="2" fillId="0" borderId="0" xfId="1" applyNumberFormat="1" applyFont="1" applyFill="1" applyBorder="1" applyAlignment="1" applyProtection="1">
      <alignment vertical="top"/>
    </xf>
    <xf numFmtId="15" fontId="2" fillId="0" borderId="0" xfId="1" applyNumberFormat="1" applyFont="1" applyFill="1" applyBorder="1" applyAlignment="1" applyProtection="1">
      <alignment vertical="top"/>
    </xf>
    <xf numFmtId="0" fontId="2" fillId="0" borderId="17" xfId="1" applyNumberFormat="1" applyFont="1" applyFill="1" applyBorder="1" applyAlignment="1" applyProtection="1">
      <alignment horizontal="center" vertical="center" wrapText="1"/>
    </xf>
    <xf numFmtId="0" fontId="8" fillId="0" borderId="18" xfId="1" applyFont="1" applyBorder="1" applyAlignment="1">
      <alignment vertical="center" wrapText="1"/>
    </xf>
    <xf numFmtId="1" fontId="9" fillId="0" borderId="18" xfId="1" applyNumberFormat="1" applyFont="1" applyBorder="1" applyAlignment="1">
      <alignment horizontal="center" vertical="center" wrapText="1"/>
    </xf>
    <xf numFmtId="0" fontId="6" fillId="0" borderId="18" xfId="1" applyNumberFormat="1" applyFont="1" applyBorder="1" applyAlignment="1">
      <alignment horizontal="left" vertical="center" wrapText="1"/>
    </xf>
    <xf numFmtId="0" fontId="7" fillId="0" borderId="20" xfId="1" applyNumberFormat="1" applyFont="1" applyFill="1" applyBorder="1" applyAlignment="1" applyProtection="1">
      <alignment horizontal="center" vertical="center"/>
    </xf>
    <xf numFmtId="0" fontId="7" fillId="0" borderId="21" xfId="1" applyNumberFormat="1" applyFont="1" applyFill="1" applyBorder="1" applyAlignment="1" applyProtection="1">
      <alignment horizontal="center" vertical="center"/>
    </xf>
    <xf numFmtId="0" fontId="12" fillId="0" borderId="2" xfId="1" applyNumberFormat="1" applyFont="1" applyFill="1" applyBorder="1" applyAlignment="1" applyProtection="1">
      <alignment horizontal="center" vertical="center" wrapText="1"/>
    </xf>
    <xf numFmtId="0" fontId="12" fillId="0" borderId="3" xfId="1" applyNumberFormat="1" applyFont="1" applyFill="1" applyBorder="1" applyAlignment="1" applyProtection="1">
      <alignment horizontal="center" vertical="center" wrapText="1"/>
    </xf>
    <xf numFmtId="0" fontId="8" fillId="0" borderId="0" xfId="1" applyNumberFormat="1" applyFont="1" applyFill="1" applyBorder="1" applyAlignment="1" applyProtection="1">
      <alignment horizontal="center" vertical="center" wrapText="1"/>
    </xf>
    <xf numFmtId="0" fontId="1" fillId="0" borderId="9" xfId="1" applyNumberFormat="1" applyFont="1" applyFill="1" applyBorder="1" applyAlignment="1" applyProtection="1">
      <alignment horizontal="right" vertical="center" indent="1"/>
    </xf>
    <xf numFmtId="2" fontId="1" fillId="0" borderId="6" xfId="1" applyNumberFormat="1" applyFont="1" applyBorder="1" applyAlignment="1">
      <alignment horizontal="right" vertical="center" wrapText="1"/>
    </xf>
    <xf numFmtId="2" fontId="8" fillId="0" borderId="6" xfId="1" applyNumberFormat="1" applyFont="1" applyBorder="1" applyAlignment="1">
      <alignment horizontal="right" vertical="center" wrapText="1"/>
    </xf>
    <xf numFmtId="2" fontId="8" fillId="0" borderId="18" xfId="1" applyNumberFormat="1" applyFont="1" applyBorder="1" applyAlignment="1">
      <alignment horizontal="right" vertical="center" wrapText="1"/>
    </xf>
    <xf numFmtId="1" fontId="13" fillId="0" borderId="18" xfId="1" applyNumberFormat="1" applyFont="1" applyBorder="1" applyAlignment="1">
      <alignment horizontal="center" vertical="center" wrapText="1"/>
    </xf>
    <xf numFmtId="1" fontId="13" fillId="0" borderId="6" xfId="1" applyNumberFormat="1" applyFont="1" applyBorder="1" applyAlignment="1">
      <alignment horizontal="center" vertical="center" wrapText="1"/>
    </xf>
    <xf numFmtId="0" fontId="14" fillId="2" borderId="6" xfId="0" applyFont="1" applyFill="1" applyBorder="1" applyAlignment="1" applyProtection="1">
      <alignment horizontal="center" vertical="center"/>
    </xf>
    <xf numFmtId="0" fontId="15" fillId="0" borderId="16" xfId="0" applyFont="1" applyFill="1" applyBorder="1" applyAlignment="1" applyProtection="1">
      <alignment vertical="center" wrapText="1"/>
    </xf>
    <xf numFmtId="164" fontId="15" fillId="0" borderId="16" xfId="0" applyNumberFormat="1" applyFont="1" applyFill="1" applyBorder="1" applyAlignment="1" applyProtection="1">
      <alignment horizontal="right" vertical="center" wrapText="1"/>
    </xf>
    <xf numFmtId="2" fontId="14" fillId="2" borderId="6" xfId="0" applyNumberFormat="1" applyFont="1" applyFill="1" applyBorder="1" applyAlignment="1" applyProtection="1">
      <alignment horizontal="center" vertical="center"/>
    </xf>
    <xf numFmtId="2" fontId="15" fillId="0" borderId="16" xfId="0" applyNumberFormat="1" applyFont="1" applyFill="1" applyBorder="1" applyAlignment="1" applyProtection="1">
      <alignment vertical="center" wrapText="1"/>
    </xf>
    <xf numFmtId="2" fontId="0" fillId="0" borderId="0" xfId="0" applyNumberFormat="1"/>
    <xf numFmtId="0" fontId="2" fillId="0" borderId="6" xfId="1" applyNumberFormat="1" applyFont="1" applyFill="1" applyBorder="1" applyAlignment="1" applyProtection="1">
      <alignment horizontal="center" vertical="center" wrapText="1"/>
    </xf>
    <xf numFmtId="0" fontId="2" fillId="0" borderId="7" xfId="1" applyNumberFormat="1" applyFont="1" applyFill="1" applyBorder="1" applyAlignment="1" applyProtection="1">
      <alignment horizontal="center" vertical="center" wrapText="1"/>
    </xf>
    <xf numFmtId="0" fontId="10" fillId="0" borderId="8" xfId="1" applyNumberFormat="1" applyFont="1" applyFill="1" applyBorder="1" applyAlignment="1" applyProtection="1">
      <alignment horizontal="left" vertical="top" indent="15"/>
    </xf>
    <xf numFmtId="0" fontId="10" fillId="0" borderId="9" xfId="1" applyNumberFormat="1" applyFont="1" applyFill="1" applyBorder="1" applyAlignment="1" applyProtection="1">
      <alignment horizontal="left" vertical="top" indent="15"/>
    </xf>
    <xf numFmtId="0" fontId="11" fillId="0" borderId="9" xfId="1" applyNumberFormat="1" applyFont="1" applyFill="1" applyBorder="1" applyAlignment="1" applyProtection="1">
      <alignment horizontal="left" vertical="top"/>
    </xf>
    <xf numFmtId="0" fontId="11" fillId="0" borderId="10" xfId="1" applyNumberFormat="1" applyFont="1" applyFill="1" applyBorder="1" applyAlignment="1" applyProtection="1">
      <alignment horizontal="left" vertical="top"/>
    </xf>
    <xf numFmtId="0" fontId="10" fillId="0" borderId="13" xfId="1" applyNumberFormat="1" applyFont="1" applyFill="1" applyBorder="1" applyAlignment="1" applyProtection="1">
      <alignment horizontal="center" vertical="center" wrapText="1"/>
    </xf>
    <xf numFmtId="0" fontId="10" fillId="0" borderId="15" xfId="1" applyNumberFormat="1" applyFont="1" applyFill="1" applyBorder="1" applyAlignment="1" applyProtection="1">
      <alignment horizontal="center" vertical="center" wrapText="1"/>
    </xf>
    <xf numFmtId="0" fontId="4" fillId="0" borderId="0" xfId="1" applyNumberFormat="1" applyFont="1" applyFill="1" applyBorder="1" applyAlignment="1" applyProtection="1">
      <alignment vertical="top"/>
    </xf>
    <xf numFmtId="0" fontId="12" fillId="0" borderId="3" xfId="1" applyNumberFormat="1" applyFont="1" applyFill="1" applyBorder="1" applyAlignment="1" applyProtection="1">
      <alignment horizontal="center" vertical="center" wrapText="1"/>
    </xf>
    <xf numFmtId="0" fontId="12" fillId="0" borderId="4" xfId="1" applyNumberFormat="1" applyFont="1" applyFill="1" applyBorder="1" applyAlignment="1" applyProtection="1">
      <alignment horizontal="center" vertical="center" wrapText="1"/>
    </xf>
    <xf numFmtId="0" fontId="7" fillId="0" borderId="21" xfId="1" applyNumberFormat="1" applyFont="1" applyFill="1" applyBorder="1" applyAlignment="1" applyProtection="1">
      <alignment horizontal="center" vertical="center"/>
    </xf>
    <xf numFmtId="0" fontId="7" fillId="0" borderId="22" xfId="1" applyNumberFormat="1" applyFont="1" applyFill="1" applyBorder="1" applyAlignment="1" applyProtection="1">
      <alignment horizontal="center" vertical="center"/>
    </xf>
    <xf numFmtId="0" fontId="2" fillId="0" borderId="18" xfId="1" applyNumberFormat="1" applyFont="1" applyFill="1" applyBorder="1" applyAlignment="1" applyProtection="1">
      <alignment horizontal="center" vertical="center" wrapText="1"/>
    </xf>
    <xf numFmtId="0" fontId="2" fillId="0" borderId="19" xfId="1" applyNumberFormat="1" applyFont="1" applyFill="1" applyBorder="1" applyAlignment="1" applyProtection="1">
      <alignment horizontal="center" vertical="center" wrapText="1"/>
    </xf>
    <xf numFmtId="0" fontId="3" fillId="0" borderId="0" xfId="1" applyNumberFormat="1" applyFont="1" applyFill="1" applyBorder="1" applyAlignment="1" applyProtection="1">
      <alignment horizontal="center" vertical="center"/>
    </xf>
    <xf numFmtId="0" fontId="5" fillId="0" borderId="0" xfId="1" applyNumberFormat="1" applyFont="1" applyFill="1" applyBorder="1" applyAlignment="1" applyProtection="1">
      <alignment horizontal="right" vertical="center"/>
    </xf>
    <xf numFmtId="0" fontId="5" fillId="0" borderId="0" xfId="1" applyNumberFormat="1" applyFont="1" applyFill="1" applyBorder="1" applyAlignment="1" applyProtection="1">
      <alignment horizontal="center" vertical="center"/>
    </xf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J27"/>
  <sheetViews>
    <sheetView tabSelected="1" zoomScale="85" zoomScaleNormal="85" workbookViewId="0"/>
  </sheetViews>
  <sheetFormatPr defaultRowHeight="12.75" x14ac:dyDescent="0.25"/>
  <cols>
    <col min="1" max="1" width="6.42578125" style="1" customWidth="1"/>
    <col min="2" max="2" width="34.42578125" style="1" customWidth="1"/>
    <col min="3" max="3" width="14.140625" style="1" customWidth="1"/>
    <col min="4" max="4" width="40.140625" style="1" customWidth="1"/>
    <col min="5" max="5" width="18.5703125" style="1" customWidth="1"/>
    <col min="6" max="6" width="9.85546875" style="1" customWidth="1"/>
    <col min="7" max="7" width="8" style="1" customWidth="1"/>
    <col min="8" max="8" width="8.5703125" style="1" customWidth="1"/>
    <col min="9" max="9" width="3.7109375" style="1" customWidth="1"/>
    <col min="10" max="16384" width="9.140625" style="1"/>
  </cols>
  <sheetData>
    <row r="1" spans="1:10" ht="16.5" x14ac:dyDescent="0.25">
      <c r="B1" s="67"/>
      <c r="C1" s="67"/>
      <c r="D1" s="2"/>
      <c r="E1" s="60" t="s">
        <v>0</v>
      </c>
      <c r="F1" s="60"/>
      <c r="G1" s="60"/>
      <c r="H1" s="60"/>
      <c r="I1" s="3"/>
      <c r="J1" s="3"/>
    </row>
    <row r="2" spans="1:10" ht="14.25" x14ac:dyDescent="0.25">
      <c r="A2" s="68" t="str">
        <f>"СПИСОК "&amp;"#"&amp; D2-42812 &amp;" внутренних почтовых отправлений от "</f>
        <v xml:space="preserve">СПИСОК #877 внутренних почтовых отправлений от </v>
      </c>
      <c r="B2" s="68"/>
      <c r="C2" s="68"/>
      <c r="D2" s="4">
        <v>43689</v>
      </c>
      <c r="E2" s="60" t="s">
        <v>1</v>
      </c>
      <c r="F2" s="60"/>
      <c r="G2" s="60"/>
      <c r="H2" s="60"/>
      <c r="I2" s="3"/>
      <c r="J2" s="3"/>
    </row>
    <row r="3" spans="1:10" ht="14.25" x14ac:dyDescent="0.25">
      <c r="B3" s="69"/>
      <c r="C3" s="69"/>
      <c r="D3" s="5"/>
      <c r="E3" s="3" t="s">
        <v>2</v>
      </c>
      <c r="F3" s="3"/>
      <c r="G3" s="3"/>
      <c r="H3" s="3"/>
      <c r="I3" s="3"/>
      <c r="J3" s="3"/>
    </row>
    <row r="4" spans="1:10" x14ac:dyDescent="0.25">
      <c r="A4" s="60" t="s">
        <v>3</v>
      </c>
      <c r="B4" s="60"/>
      <c r="C4" s="60"/>
      <c r="D4" s="60"/>
      <c r="E4" s="3" t="s">
        <v>4</v>
      </c>
      <c r="F4" s="3"/>
      <c r="G4" s="3"/>
      <c r="H4" s="3"/>
    </row>
    <row r="5" spans="1:10" x14ac:dyDescent="0.25">
      <c r="A5" s="60" t="s">
        <v>5</v>
      </c>
      <c r="B5" s="60"/>
      <c r="C5" s="60"/>
      <c r="D5" s="60"/>
    </row>
    <row r="6" spans="1:10" x14ac:dyDescent="0.25">
      <c r="A6" s="60" t="s">
        <v>6</v>
      </c>
      <c r="B6" s="60"/>
      <c r="C6" s="60"/>
      <c r="D6" s="60"/>
    </row>
    <row r="7" spans="1:10" ht="13.5" thickBot="1" x14ac:dyDescent="0.3">
      <c r="A7" s="6" t="str">
        <f>"Всего РПО: " &amp; Formuls!B12</f>
        <v>Всего РПО: 1</v>
      </c>
      <c r="B7" s="7"/>
      <c r="C7" s="3" t="s">
        <v>7</v>
      </c>
    </row>
    <row r="8" spans="1:10" s="39" customFormat="1" ht="15.75" thickTop="1" x14ac:dyDescent="0.25">
      <c r="A8" s="37" t="s">
        <v>52</v>
      </c>
      <c r="B8" s="38" t="s">
        <v>8</v>
      </c>
      <c r="C8" s="38" t="s">
        <v>53</v>
      </c>
      <c r="D8" s="38" t="s">
        <v>9</v>
      </c>
      <c r="E8" s="38" t="s">
        <v>10</v>
      </c>
      <c r="F8" s="38" t="s">
        <v>11</v>
      </c>
      <c r="G8" s="61" t="s">
        <v>12</v>
      </c>
      <c r="H8" s="61"/>
      <c r="I8" s="62"/>
    </row>
    <row r="9" spans="1:10" s="8" customFormat="1" ht="9.75" customHeight="1" thickBot="1" x14ac:dyDescent="0.3">
      <c r="A9" s="35" t="s">
        <v>13</v>
      </c>
      <c r="B9" s="36" t="s">
        <v>14</v>
      </c>
      <c r="C9" s="36" t="s">
        <v>15</v>
      </c>
      <c r="D9" s="36" t="s">
        <v>16</v>
      </c>
      <c r="E9" s="36" t="s">
        <v>17</v>
      </c>
      <c r="F9" s="36" t="s">
        <v>18</v>
      </c>
      <c r="G9" s="63" t="s">
        <v>19</v>
      </c>
      <c r="H9" s="63"/>
      <c r="I9" s="64"/>
    </row>
    <row r="10" spans="1:10" s="8" customFormat="1" ht="24" x14ac:dyDescent="0.25">
      <c r="A10" s="31">
        <v>1</v>
      </c>
      <c r="B10" s="32" t="str">
        <f>IF('111'!C2="","",'111'!C2)</f>
        <v>шертсенникова галина</v>
      </c>
      <c r="C10" s="33" t="str">
        <f>IF('111'!D2="","",'111'!D2)</f>
        <v>613216</v>
      </c>
      <c r="D10" s="34" t="str">
        <f>IF('111'!E2="","",'111'!E2)</f>
        <v>Кировская обл, Белохолуницкий р-н, Прокопье с, Новая ул, дом № 27 / 89127306735; 89195087125</v>
      </c>
      <c r="E10" s="44" t="str">
        <f>IF('111'!B2="","",'111'!B2)</f>
        <v>1916050</v>
      </c>
      <c r="F10" s="43">
        <f>IF('111'!F2=0,"",'111'!F2)</f>
        <v>0.1</v>
      </c>
      <c r="G10" s="65"/>
      <c r="H10" s="65"/>
      <c r="I10" s="66"/>
    </row>
    <row r="11" spans="1:10" s="8" customFormat="1" ht="18" x14ac:dyDescent="0.25">
      <c r="A11" s="12">
        <v>2</v>
      </c>
      <c r="B11" s="9" t="str">
        <f>IF('111'!C3="","",'111'!C3)</f>
        <v/>
      </c>
      <c r="C11" s="10" t="str">
        <f>IF('111'!D3="","",'111'!D3)</f>
        <v/>
      </c>
      <c r="D11" s="11" t="str">
        <f>IF('111'!E3="","",'111'!E3)</f>
        <v/>
      </c>
      <c r="E11" s="45" t="str">
        <f>IF('111'!B3="","",'111'!B3)</f>
        <v/>
      </c>
      <c r="F11" s="42" t="str">
        <f>IF('111'!F3=0,"",'111'!F3)</f>
        <v/>
      </c>
      <c r="G11" s="52"/>
      <c r="H11" s="52"/>
      <c r="I11" s="53"/>
    </row>
    <row r="12" spans="1:10" s="8" customFormat="1" ht="18" x14ac:dyDescent="0.25">
      <c r="A12" s="12">
        <v>3</v>
      </c>
      <c r="B12" s="9" t="str">
        <f>IF('111'!C4="","",'111'!C4)</f>
        <v/>
      </c>
      <c r="C12" s="10" t="str">
        <f>IF('111'!D4="","",'111'!D4)</f>
        <v/>
      </c>
      <c r="D12" s="11" t="str">
        <f>IF('111'!E4="","",'111'!E4)</f>
        <v/>
      </c>
      <c r="E12" s="45" t="str">
        <f>IF('111'!B4="","",'111'!B4)</f>
        <v/>
      </c>
      <c r="F12" s="42" t="str">
        <f>IF('111'!F4=0,"",'111'!F4)</f>
        <v/>
      </c>
      <c r="G12" s="52"/>
      <c r="H12" s="52"/>
      <c r="I12" s="53"/>
    </row>
    <row r="13" spans="1:10" s="8" customFormat="1" ht="18" x14ac:dyDescent="0.25">
      <c r="A13" s="12">
        <v>4</v>
      </c>
      <c r="B13" s="9" t="str">
        <f>IF('111'!C5="","",'111'!C5)</f>
        <v/>
      </c>
      <c r="C13" s="10" t="str">
        <f>IF('111'!D5="","",'111'!D5)</f>
        <v/>
      </c>
      <c r="D13" s="11" t="str">
        <f>IF('111'!E5="","",'111'!E5)</f>
        <v/>
      </c>
      <c r="E13" s="45" t="str">
        <f>IF('111'!B5="","",'111'!B5)</f>
        <v/>
      </c>
      <c r="F13" s="42" t="str">
        <f>IF('111'!F5=0,"",'111'!F5)</f>
        <v/>
      </c>
      <c r="G13" s="52"/>
      <c r="H13" s="52"/>
      <c r="I13" s="53"/>
    </row>
    <row r="14" spans="1:10" s="8" customFormat="1" ht="18" x14ac:dyDescent="0.25">
      <c r="A14" s="12">
        <v>5</v>
      </c>
      <c r="B14" s="9" t="str">
        <f>IF('111'!C6="","",'111'!C6)</f>
        <v/>
      </c>
      <c r="C14" s="10" t="str">
        <f>IF('111'!D6="","",'111'!D6)</f>
        <v/>
      </c>
      <c r="D14" s="11" t="str">
        <f>IF('111'!E6="","",'111'!E6)</f>
        <v/>
      </c>
      <c r="E14" s="45" t="str">
        <f>IF('111'!B6="","",'111'!B6)</f>
        <v/>
      </c>
      <c r="F14" s="42" t="str">
        <f>IF('111'!F6=0,"",'111'!F6)</f>
        <v/>
      </c>
      <c r="G14" s="52"/>
      <c r="H14" s="52"/>
      <c r="I14" s="53"/>
    </row>
    <row r="15" spans="1:10" s="8" customFormat="1" ht="18" x14ac:dyDescent="0.25">
      <c r="A15" s="12">
        <v>6</v>
      </c>
      <c r="B15" s="9" t="str">
        <f>IF('111'!C7="","",'111'!C7)</f>
        <v/>
      </c>
      <c r="C15" s="10" t="str">
        <f>IF('111'!D7="","",'111'!D7)</f>
        <v/>
      </c>
      <c r="D15" s="11" t="str">
        <f>IF('111'!E7="","",'111'!E7)</f>
        <v/>
      </c>
      <c r="E15" s="45" t="str">
        <f>IF('111'!B7="","",'111'!B7)</f>
        <v/>
      </c>
      <c r="F15" s="42" t="str">
        <f>IF('111'!F7=0,"",'111'!F7)</f>
        <v/>
      </c>
      <c r="G15" s="52"/>
      <c r="H15" s="52"/>
      <c r="I15" s="53"/>
    </row>
    <row r="16" spans="1:10" s="8" customFormat="1" ht="18" x14ac:dyDescent="0.25">
      <c r="A16" s="12">
        <v>7</v>
      </c>
      <c r="B16" s="9" t="str">
        <f>IF('111'!C8="","",'111'!C8)</f>
        <v/>
      </c>
      <c r="C16" s="10" t="str">
        <f>IF('111'!D8="","",'111'!D8)</f>
        <v/>
      </c>
      <c r="D16" s="11" t="str">
        <f>IF('111'!E8="","",'111'!E8)</f>
        <v/>
      </c>
      <c r="E16" s="45" t="str">
        <f>IF('111'!B8="","",'111'!B8)</f>
        <v/>
      </c>
      <c r="F16" s="42" t="str">
        <f>IF('111'!F8=0,"",'111'!F8)</f>
        <v/>
      </c>
      <c r="G16" s="52"/>
      <c r="H16" s="52"/>
      <c r="I16" s="53"/>
    </row>
    <row r="17" spans="1:9" s="8" customFormat="1" ht="18" x14ac:dyDescent="0.25">
      <c r="A17" s="12">
        <v>8</v>
      </c>
      <c r="B17" s="9" t="str">
        <f>IF('111'!C9="","",'111'!C9)</f>
        <v/>
      </c>
      <c r="C17" s="10" t="str">
        <f>IF('111'!D9="","",'111'!D9)</f>
        <v/>
      </c>
      <c r="D17" s="11" t="str">
        <f>IF('111'!E9="","",'111'!E9)</f>
        <v/>
      </c>
      <c r="E17" s="45" t="str">
        <f>IF('111'!B9="","",'111'!B9)</f>
        <v/>
      </c>
      <c r="F17" s="42" t="str">
        <f>IF('111'!F9=0,"",'111'!F9)</f>
        <v/>
      </c>
      <c r="G17" s="52"/>
      <c r="H17" s="52"/>
      <c r="I17" s="53"/>
    </row>
    <row r="18" spans="1:9" s="8" customFormat="1" ht="18" x14ac:dyDescent="0.25">
      <c r="A18" s="12">
        <v>9</v>
      </c>
      <c r="B18" s="9" t="str">
        <f>IF('111'!C10="","",'111'!C10)</f>
        <v/>
      </c>
      <c r="C18" s="10" t="str">
        <f>IF('111'!D10="","",'111'!D10)</f>
        <v/>
      </c>
      <c r="D18" s="11" t="str">
        <f>IF('111'!E10="","",'111'!E10)</f>
        <v/>
      </c>
      <c r="E18" s="45" t="str">
        <f>IF('111'!B10="","",'111'!B10)</f>
        <v/>
      </c>
      <c r="F18" s="42" t="str">
        <f>IF('111'!F10=0,"",'111'!F10)</f>
        <v/>
      </c>
      <c r="G18" s="52"/>
      <c r="H18" s="52"/>
      <c r="I18" s="53"/>
    </row>
    <row r="19" spans="1:9" s="8" customFormat="1" ht="18" x14ac:dyDescent="0.25">
      <c r="A19" s="12">
        <v>10</v>
      </c>
      <c r="B19" s="9" t="str">
        <f>IF('111'!C11="","",'111'!C11)</f>
        <v/>
      </c>
      <c r="C19" s="10" t="str">
        <f>IF('111'!D11="","",'111'!D11)</f>
        <v/>
      </c>
      <c r="D19" s="11" t="str">
        <f>IF('111'!E11="","",'111'!E11)</f>
        <v/>
      </c>
      <c r="E19" s="45" t="str">
        <f>IF('111'!B11="","",'111'!B11)</f>
        <v/>
      </c>
      <c r="F19" s="42" t="str">
        <f>IF('111'!F11=0,"",'111'!F11)</f>
        <v/>
      </c>
      <c r="G19" s="52"/>
      <c r="H19" s="52"/>
      <c r="I19" s="53"/>
    </row>
    <row r="20" spans="1:9" ht="16.5" customHeight="1" thickBot="1" x14ac:dyDescent="0.3">
      <c r="A20" s="54"/>
      <c r="B20" s="55"/>
      <c r="C20" s="55"/>
      <c r="D20" s="55"/>
      <c r="E20" s="40" t="s">
        <v>20</v>
      </c>
      <c r="F20" s="41">
        <f>SUM(F10:F19)</f>
        <v>0.1</v>
      </c>
      <c r="G20" s="56"/>
      <c r="H20" s="56"/>
      <c r="I20" s="57"/>
    </row>
    <row r="21" spans="1:9" ht="21" customHeight="1" thickTop="1" x14ac:dyDescent="0.2">
      <c r="A21" s="13"/>
      <c r="B21" s="14" t="s">
        <v>21</v>
      </c>
      <c r="C21" s="15"/>
      <c r="D21" s="16" t="s">
        <v>22</v>
      </c>
      <c r="E21" s="17"/>
      <c r="F21" s="17"/>
      <c r="G21" s="18"/>
      <c r="H21" s="58" t="s">
        <v>23</v>
      </c>
      <c r="I21" s="19"/>
    </row>
    <row r="22" spans="1:9" ht="12.75" customHeight="1" x14ac:dyDescent="0.2">
      <c r="B22" s="20"/>
      <c r="C22" s="15"/>
      <c r="D22" s="21" t="s">
        <v>24</v>
      </c>
      <c r="E22" s="21"/>
      <c r="F22" s="21"/>
      <c r="G22" s="22"/>
      <c r="H22" s="58"/>
      <c r="I22" s="23"/>
    </row>
    <row r="23" spans="1:9" x14ac:dyDescent="0.2">
      <c r="B23" s="14" t="s">
        <v>25</v>
      </c>
      <c r="C23" s="19"/>
      <c r="D23" s="24" t="s">
        <v>26</v>
      </c>
      <c r="E23" s="19"/>
      <c r="F23" s="19"/>
      <c r="G23" s="25"/>
      <c r="H23" s="58"/>
      <c r="I23" s="23"/>
    </row>
    <row r="24" spans="1:9" ht="9.75" customHeight="1" x14ac:dyDescent="0.2">
      <c r="B24" s="20" t="s">
        <v>27</v>
      </c>
      <c r="C24" s="26"/>
      <c r="D24" s="20" t="s">
        <v>28</v>
      </c>
      <c r="E24" s="21"/>
      <c r="F24" s="21"/>
      <c r="G24" s="22"/>
      <c r="H24" s="58"/>
      <c r="I24" s="23"/>
    </row>
    <row r="25" spans="1:9" ht="13.5" thickBot="1" x14ac:dyDescent="0.3">
      <c r="B25" s="24"/>
      <c r="C25" s="27" t="s">
        <v>29</v>
      </c>
      <c r="D25" s="24" t="s">
        <v>30</v>
      </c>
      <c r="E25" s="19"/>
      <c r="F25" s="19"/>
      <c r="G25" s="25"/>
      <c r="H25" s="59"/>
      <c r="I25" s="23"/>
    </row>
    <row r="26" spans="1:9" x14ac:dyDescent="0.25">
      <c r="B26" s="24"/>
      <c r="D26" s="28"/>
      <c r="E26" s="28"/>
      <c r="F26" s="28"/>
      <c r="G26" s="28"/>
      <c r="H26" s="23"/>
      <c r="I26" s="23"/>
    </row>
    <row r="27" spans="1:9" x14ac:dyDescent="0.25">
      <c r="C27" s="27"/>
    </row>
  </sheetData>
  <mergeCells count="23">
    <mergeCell ref="A4:D4"/>
    <mergeCell ref="B1:C1"/>
    <mergeCell ref="E1:H1"/>
    <mergeCell ref="A2:C2"/>
    <mergeCell ref="E2:H2"/>
    <mergeCell ref="B3:C3"/>
    <mergeCell ref="G17:I17"/>
    <mergeCell ref="A5:D5"/>
    <mergeCell ref="A6:D6"/>
    <mergeCell ref="G8:I8"/>
    <mergeCell ref="G9:I9"/>
    <mergeCell ref="G10:I10"/>
    <mergeCell ref="G11:I11"/>
    <mergeCell ref="G12:I12"/>
    <mergeCell ref="G13:I13"/>
    <mergeCell ref="G14:I14"/>
    <mergeCell ref="G15:I15"/>
    <mergeCell ref="G16:I16"/>
    <mergeCell ref="G18:I18"/>
    <mergeCell ref="G19:I19"/>
    <mergeCell ref="A20:D20"/>
    <mergeCell ref="G20:I20"/>
    <mergeCell ref="H21:H25"/>
  </mergeCells>
  <pageMargins left="0.39370078740157483" right="0.39370078740157483" top="0" bottom="0" header="0" footer="0"/>
  <pageSetup paperSize="9" scale="96" fitToHeight="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2"/>
  <sheetViews>
    <sheetView zoomScale="85" zoomScaleNormal="85" workbookViewId="0">
      <selection activeCell="F9" sqref="F9"/>
    </sheetView>
  </sheetViews>
  <sheetFormatPr defaultRowHeight="12.75" x14ac:dyDescent="0.25"/>
  <cols>
    <col min="1" max="1" width="11.7109375" style="1" bestFit="1" customWidth="1"/>
    <col min="2" max="2" width="3.140625" style="1" bestFit="1" customWidth="1"/>
    <col min="3" max="16384" width="9.140625" style="1"/>
  </cols>
  <sheetData>
    <row r="1" spans="1:2" x14ac:dyDescent="0.25">
      <c r="A1" s="1" t="s">
        <v>31</v>
      </c>
    </row>
    <row r="2" spans="1:2" x14ac:dyDescent="0.25">
      <c r="A2" s="1" t="s">
        <v>32</v>
      </c>
      <c r="B2" s="1">
        <f>IF('111'!B2="",0,1)</f>
        <v>1</v>
      </c>
    </row>
    <row r="3" spans="1:2" x14ac:dyDescent="0.25">
      <c r="A3" s="1" t="s">
        <v>33</v>
      </c>
      <c r="B3" s="1">
        <f>IF('111'!B3="",0,1)</f>
        <v>0</v>
      </c>
    </row>
    <row r="4" spans="1:2" x14ac:dyDescent="0.25">
      <c r="A4" s="1" t="s">
        <v>34</v>
      </c>
      <c r="B4" s="1">
        <f>IF('111'!B4="",0,1)</f>
        <v>0</v>
      </c>
    </row>
    <row r="5" spans="1:2" x14ac:dyDescent="0.25">
      <c r="A5" s="1" t="s">
        <v>35</v>
      </c>
      <c r="B5" s="1">
        <f>IF('111'!B5="",0,1)</f>
        <v>0</v>
      </c>
    </row>
    <row r="6" spans="1:2" x14ac:dyDescent="0.25">
      <c r="A6" s="1" t="s">
        <v>36</v>
      </c>
      <c r="B6" s="1">
        <f>IF('111'!B6="",0,1)</f>
        <v>0</v>
      </c>
    </row>
    <row r="7" spans="1:2" x14ac:dyDescent="0.25">
      <c r="A7" s="1" t="s">
        <v>37</v>
      </c>
      <c r="B7" s="1">
        <f>IF('111'!B7="",0,1)</f>
        <v>0</v>
      </c>
    </row>
    <row r="8" spans="1:2" x14ac:dyDescent="0.25">
      <c r="A8" s="1" t="s">
        <v>38</v>
      </c>
      <c r="B8" s="1">
        <f>IF('111'!B8="",0,1)</f>
        <v>0</v>
      </c>
    </row>
    <row r="9" spans="1:2" x14ac:dyDescent="0.25">
      <c r="A9" s="1" t="s">
        <v>39</v>
      </c>
      <c r="B9" s="1">
        <f>IF('111'!B9="",0,1)</f>
        <v>0</v>
      </c>
    </row>
    <row r="10" spans="1:2" x14ac:dyDescent="0.25">
      <c r="A10" s="1" t="s">
        <v>40</v>
      </c>
      <c r="B10" s="1">
        <f>IF('111'!B10="",0,1)</f>
        <v>0</v>
      </c>
    </row>
    <row r="11" spans="1:2" x14ac:dyDescent="0.25">
      <c r="A11" s="1" t="s">
        <v>41</v>
      </c>
      <c r="B11" s="1">
        <f>IF('111'!B11="",0,1)</f>
        <v>0</v>
      </c>
    </row>
    <row r="12" spans="1:2" x14ac:dyDescent="0.25">
      <c r="A12" s="1" t="s">
        <v>42</v>
      </c>
      <c r="B12" s="1">
        <f>SUM(B2:B11)</f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I19"/>
  <sheetViews>
    <sheetView topLeftCell="B1" workbookViewId="0">
      <selection activeCell="F1" sqref="F1:F1048576"/>
    </sheetView>
  </sheetViews>
  <sheetFormatPr defaultRowHeight="12.75" x14ac:dyDescent="0.25"/>
  <cols>
    <col min="1" max="1" width="8.140625" style="1" customWidth="1"/>
    <col min="2" max="2" width="19" style="1" customWidth="1"/>
    <col min="3" max="3" width="21.42578125" style="1" customWidth="1"/>
    <col min="4" max="4" width="16.140625" style="1" customWidth="1"/>
    <col min="5" max="5" width="47.5703125" style="1" customWidth="1"/>
    <col min="6" max="6" width="7.5703125" style="29" customWidth="1"/>
    <col min="7" max="7" width="13.5703125" style="1" customWidth="1"/>
    <col min="8" max="16384" width="9.140625" style="1"/>
  </cols>
  <sheetData>
    <row r="1" spans="1:9" ht="15" x14ac:dyDescent="0.25">
      <c r="A1" s="46" t="s">
        <v>43</v>
      </c>
      <c r="B1" s="46" t="s">
        <v>44</v>
      </c>
      <c r="C1" s="46" t="s">
        <v>45</v>
      </c>
      <c r="D1" s="46" t="s">
        <v>46</v>
      </c>
      <c r="E1" s="46" t="s">
        <v>47</v>
      </c>
      <c r="F1" s="49" t="s">
        <v>48</v>
      </c>
      <c r="G1" s="46" t="s">
        <v>49</v>
      </c>
      <c r="H1" s="46" t="s">
        <v>50</v>
      </c>
    </row>
    <row r="2" spans="1:9" ht="30" x14ac:dyDescent="0.25">
      <c r="A2" s="47" t="s">
        <v>13</v>
      </c>
      <c r="B2" s="47" t="s">
        <v>54</v>
      </c>
      <c r="C2" s="47" t="s">
        <v>55</v>
      </c>
      <c r="D2" s="47" t="s">
        <v>56</v>
      </c>
      <c r="E2" s="47" t="s">
        <v>57</v>
      </c>
      <c r="F2" s="50">
        <v>0.1</v>
      </c>
      <c r="G2" s="48">
        <v>43686</v>
      </c>
      <c r="H2" s="47" t="s">
        <v>51</v>
      </c>
    </row>
    <row r="3" spans="1:9" ht="15" x14ac:dyDescent="0.25">
      <c r="A3"/>
      <c r="B3"/>
      <c r="C3"/>
      <c r="D3"/>
      <c r="E3"/>
      <c r="F3" s="51"/>
      <c r="G3"/>
      <c r="H3"/>
    </row>
    <row r="4" spans="1:9" ht="15" x14ac:dyDescent="0.25">
      <c r="A4"/>
      <c r="B4"/>
      <c r="C4"/>
      <c r="D4"/>
      <c r="E4"/>
      <c r="F4" s="51"/>
      <c r="G4"/>
      <c r="H4"/>
    </row>
    <row r="5" spans="1:9" ht="15" x14ac:dyDescent="0.25">
      <c r="A5"/>
      <c r="B5"/>
      <c r="C5"/>
      <c r="D5"/>
      <c r="E5"/>
      <c r="F5" s="51"/>
      <c r="G5"/>
      <c r="H5"/>
    </row>
    <row r="6" spans="1:9" ht="15" x14ac:dyDescent="0.25">
      <c r="A6"/>
      <c r="B6"/>
      <c r="C6"/>
      <c r="D6"/>
      <c r="E6"/>
      <c r="F6" s="51"/>
      <c r="G6"/>
      <c r="H6"/>
    </row>
    <row r="7" spans="1:9" ht="15" x14ac:dyDescent="0.25">
      <c r="A7"/>
      <c r="B7"/>
      <c r="C7"/>
      <c r="D7"/>
      <c r="E7"/>
      <c r="F7" s="51"/>
      <c r="G7"/>
      <c r="H7"/>
    </row>
    <row r="8" spans="1:9" ht="15" x14ac:dyDescent="0.25">
      <c r="A8"/>
      <c r="B8"/>
      <c r="C8"/>
      <c r="D8"/>
      <c r="E8"/>
      <c r="F8" s="51"/>
      <c r="G8"/>
      <c r="H8"/>
    </row>
    <row r="9" spans="1:9" ht="15" x14ac:dyDescent="0.25">
      <c r="A9"/>
      <c r="B9"/>
      <c r="C9"/>
      <c r="D9"/>
      <c r="E9"/>
      <c r="F9" s="51"/>
      <c r="G9"/>
      <c r="H9"/>
    </row>
    <row r="10" spans="1:9" ht="15" x14ac:dyDescent="0.25">
      <c r="A10"/>
      <c r="B10"/>
      <c r="C10"/>
      <c r="D10"/>
      <c r="E10"/>
      <c r="F10" s="51"/>
      <c r="G10"/>
      <c r="H10"/>
    </row>
    <row r="11" spans="1:9" ht="15" x14ac:dyDescent="0.25">
      <c r="A11"/>
      <c r="B11"/>
      <c r="C11"/>
      <c r="D11"/>
      <c r="E11"/>
      <c r="F11" s="51"/>
      <c r="G11"/>
      <c r="H11"/>
    </row>
    <row r="12" spans="1:9" ht="15" x14ac:dyDescent="0.25">
      <c r="A12"/>
      <c r="B12"/>
      <c r="C12"/>
      <c r="D12"/>
      <c r="E12"/>
      <c r="F12" s="51"/>
      <c r="G12"/>
      <c r="H12"/>
    </row>
    <row r="13" spans="1:9" x14ac:dyDescent="0.25">
      <c r="I13" s="30"/>
    </row>
    <row r="14" spans="1:9" x14ac:dyDescent="0.25">
      <c r="I14" s="30"/>
    </row>
    <row r="15" spans="1:9" x14ac:dyDescent="0.25">
      <c r="I15" s="30"/>
    </row>
    <row r="16" spans="1:9" x14ac:dyDescent="0.25">
      <c r="I16" s="30"/>
    </row>
    <row r="17" spans="9:9" x14ac:dyDescent="0.25">
      <c r="I17" s="30"/>
    </row>
    <row r="18" spans="9:9" x14ac:dyDescent="0.25">
      <c r="I18" s="30"/>
    </row>
    <row r="19" spans="9:9" x14ac:dyDescent="0.25">
      <c r="I19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Main</vt:lpstr>
      <vt:lpstr>Formuls</vt:lpstr>
      <vt:lpstr>111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Куликов Никита С.</cp:lastModifiedBy>
  <cp:lastPrinted>2019-08-09T14:33:10Z</cp:lastPrinted>
  <dcterms:created xsi:type="dcterms:W3CDTF">2015-06-05T18:19:34Z</dcterms:created>
  <dcterms:modified xsi:type="dcterms:W3CDTF">2019-08-09T14:33:10Z</dcterms:modified>
</cp:coreProperties>
</file>