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Drive\access\TL\"/>
    </mc:Choice>
  </mc:AlternateContent>
  <bookViews>
    <workbookView xWindow="0" yWindow="0" windowWidth="22260" windowHeight="12645"/>
  </bookViews>
  <sheets>
    <sheet name="TTN" sheetId="2" r:id="rId1"/>
    <sheet name="TMP" sheetId="3" state="hidden" r:id="rId2"/>
    <sheet name="1toONE" sheetId="4" state="hidden" r:id="rId3"/>
  </sheets>
  <definedNames>
    <definedName name="n_1" localSheetId="2">{"","одинz","дваz","триz","четыреz","пятьz","шестьz","семьz","восемьz","девятьz"}</definedName>
    <definedName name="n_1" localSheetId="1">{"","одинz","дваz","триz","четыреz","пятьz","шестьz","семьz","восемьz","девятьz"}</definedName>
    <definedName name="n_1">{"","одинz","дваz","триz","четыреz","пятьz","шестьz","семьz","восемьz","девятьz"}</definedName>
    <definedName name="n_2" localSheetId="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 localSheetId="1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 localSheetId="2">{"";1;"двадцатьz";"тридцатьz";"сорокz";"пятьдесятz";"шестьдесятz";"семьдесятz";"восемьдесятz";"девяностоz"}</definedName>
    <definedName name="n_3" localSheetId="1">{"";1;"двадцатьz";"тридцатьz";"сорокz";"пятьдесятz";"шестьдесятz";"семьдесятz";"восемьдесятz";"девяностоz"}</definedName>
    <definedName name="n_3">{"";1;"двадцатьz";"тридцатьz";"сорокz";"пятьдесятz";"шестьдесятz";"семьдесятz";"восемьдесятz";"девяностоz"}</definedName>
    <definedName name="n_4" localSheetId="2">{"","стоz","двестиz","тристаz","четырестаz","пятьсотz","шестьсотz","семьсотz","восемьсотz","девятьсотz"}</definedName>
    <definedName name="n_4" localSheetId="1">{"","стоz","двестиz","тристаz","четырестаz","пятьсотz","шестьсотz","семьсотz","восемьсотz","девятьсотz"}</definedName>
    <definedName name="n_4">{"","стоz","двестиz","тристаz","четырестаz","пятьсотz","шестьсотz","семьсотz","восемьсотz","девятьсотz"}</definedName>
    <definedName name="n_5" localSheetId="2">{"","однаz","двеz","триz","четыреz","пятьz","шестьz","семьz","восемьz","девятьz"}</definedName>
    <definedName name="n_5" localSheetId="1">{"","однаz","двеz","триz","четыреz","пятьz","шестьz","семьz","восемьz","девятьz"}</definedName>
    <definedName name="n_5">{"","однаz","двеz","триz","четыреz","пятьz","шестьz","семьz","восемьz","девятьz"}</definedName>
    <definedName name="n0">"000000000000"&amp;MID(1/2,2,1)&amp;"00"</definedName>
    <definedName name="n0x" localSheetId="2">IF('1toONE'!n_3=1,'1toONE'!n_2,'1toONE'!n_3&amp;'1toONE'!n_1)</definedName>
    <definedName name="n0x" localSheetId="1">IF(TMP!n_3=1,TMP!n_2,TMP!n_3&amp;TMP!n_1)</definedName>
    <definedName name="n0x">IF(n_3=1,n_2,n_3&amp;n_1)</definedName>
    <definedName name="n1x" localSheetId="2">IF('1toONE'!n_3=1,'1toONE'!n_2,'1toONE'!n_3&amp;'1toONE'!n_5)</definedName>
    <definedName name="n1x" localSheetId="1">IF(TMP!n_3=1,TMP!n_2,TMP!n_3&amp;TMP!n_5)</definedName>
    <definedName name="n1x">IF(n_3=1,n_2,n_3&amp;n_5)</definedName>
    <definedName name="мил" localSheetId="2">{0,"овz";1,"z";2,"аz";5,"овz"}</definedName>
    <definedName name="мил" localSheetId="1">{0,"овz";1,"z";2,"аz";5,"овz"}</definedName>
    <definedName name="мил">{0,"овz";1,"z";2,"аz";5,"овz"}</definedName>
    <definedName name="_xlnm.Print_Area" localSheetId="0">TTN!$A$1:$GH$91</definedName>
    <definedName name="тыс" localSheetId="2">{0,"тысячz";1,"тысячаz";2,"тысячиz";5,"тысячz"}</definedName>
    <definedName name="тыс" localSheetId="1">{0,"тысячz";1,"тысячаz";2,"тысячиz";5,"тысячz"}</definedName>
    <definedName name="тыс">{0,"тысячz";1,"тысячаz";2,"тысячиz";5,"тысячz"}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4" l="1"/>
  <c r="B32" i="4"/>
  <c r="A29" i="4"/>
  <c r="B29" i="4" s="1"/>
  <c r="A28" i="4"/>
  <c r="B28" i="4" s="1"/>
  <c r="A27" i="4"/>
  <c r="B27" i="4" s="1"/>
  <c r="A26" i="4"/>
  <c r="B26" i="4" s="1"/>
  <c r="A25" i="4"/>
  <c r="B25" i="4" s="1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3" i="4"/>
  <c r="CU48" i="2" l="1"/>
  <c r="L48" i="2"/>
  <c r="EN44" i="2"/>
  <c r="CO44" i="2"/>
  <c r="FI30" i="2"/>
  <c r="AA74" i="2" s="1"/>
  <c r="EO18" i="2"/>
  <c r="BV25" i="2" s="1"/>
  <c r="Q68" i="2" s="1"/>
  <c r="AS18" i="2"/>
  <c r="EQ81" i="2"/>
  <c r="EB81" i="2"/>
  <c r="BV23" i="2"/>
  <c r="ED19" i="2"/>
  <c r="N25" i="2"/>
  <c r="AU65" i="2" s="1"/>
  <c r="FM7" i="2"/>
  <c r="V43" i="2" s="1"/>
  <c r="FM6" i="2"/>
  <c r="FP42" i="2" s="1"/>
  <c r="FU65" i="2" l="1"/>
  <c r="DS22" i="2"/>
  <c r="ED18" i="2"/>
  <c r="CM63" i="2"/>
  <c r="DS24" i="2"/>
  <c r="BC39" i="2"/>
  <c r="FU63" i="2"/>
</calcChain>
</file>

<file path=xl/sharedStrings.xml><?xml version="1.0" encoding="utf-8"?>
<sst xmlns="http://schemas.openxmlformats.org/spreadsheetml/2006/main" count="311" uniqueCount="229">
  <si>
    <t>Типовая межотраслевая форма № 1-Т</t>
  </si>
  <si>
    <t>Утверждена Постановлением Госкомстата РФ</t>
  </si>
  <si>
    <t>от 28.11.97 № 78</t>
  </si>
  <si>
    <t>Коды</t>
  </si>
  <si>
    <t>Форма по ОКУД</t>
  </si>
  <si>
    <t>0345009</t>
  </si>
  <si>
    <t>ТОВАРНО-ТРАНСПОРТНАЯ НАКЛАДНАЯ</t>
  </si>
  <si>
    <t>КДС</t>
  </si>
  <si>
    <t>№</t>
  </si>
  <si>
    <t>(серия)</t>
  </si>
  <si>
    <t>Дата составления</t>
  </si>
  <si>
    <t>Грузоотправитель</t>
  </si>
  <si>
    <t>Общество с ограниченной ответственностью "Экспресс-почта", 191040, г. Санкт-Петербург, Лиговский пр.,д. 50, лит. Н, 1 этаж, тел. 8(812) 633-02-25</t>
  </si>
  <si>
    <t>по ОКПО</t>
  </si>
  <si>
    <t>13889363</t>
  </si>
  <si>
    <t>Грузополучатель</t>
  </si>
  <si>
    <t>(полное наименование организации, адрес, номер телефона)</t>
  </si>
  <si>
    <t>Общество с ограниченной ответственностью "ЭКСПРЕСС-ПОЧТА СТОЛИЦА", 105082, г. Москва, ул. Золоторожский вал д. 4А, стр.2 тел. 8(495) 781-56-96</t>
  </si>
  <si>
    <t>Плательщик</t>
  </si>
  <si>
    <t>Общество с ограниченной ответственностью "Экспресс-почта", г. Санкт-Петербург, Лиговский пр.,д. 50, лит. Н, 1 этаж,  р/с 40702810332060000119, в филиале "Санкт-Петербургский" ОАО "АЛЬФА-БАНК", к/с 30101810600000000786, БИК 044030786</t>
  </si>
  <si>
    <t>(полное наименование организации, адрес, банковские реквизиты)</t>
  </si>
  <si>
    <t>1. ТОВАРНЫЙ РАЗДЕЛ (заполняется грузоотправителем)</t>
  </si>
  <si>
    <t>Код
продукции
(номенкла-
турный
номер)</t>
  </si>
  <si>
    <t>Номер
прейскуранта и
дополнения к нему</t>
  </si>
  <si>
    <t>Артикул или
номер по
прейску- ранту</t>
  </si>
  <si>
    <t>Кол-во</t>
  </si>
  <si>
    <t>Цена,
руб. коп.</t>
  </si>
  <si>
    <t>Наименование
продукции, товара (груза),
ТУ, марка, размер, сорт</t>
  </si>
  <si>
    <t>Единица измерения</t>
  </si>
  <si>
    <t>Вид упаковки</t>
  </si>
  <si>
    <t>Кол-во мест</t>
  </si>
  <si>
    <t>Масса,
т</t>
  </si>
  <si>
    <t>Сумма,
руб. коп.</t>
  </si>
  <si>
    <t>Порядковый номер
записи по склад-
ской картотеке</t>
  </si>
  <si>
    <t>1</t>
  </si>
  <si>
    <t>---</t>
  </si>
  <si>
    <t>ЭП</t>
  </si>
  <si>
    <t>шт</t>
  </si>
  <si>
    <t>коробка</t>
  </si>
  <si>
    <t>2</t>
  </si>
  <si>
    <t>мешок</t>
  </si>
  <si>
    <t>Товарная накладная имеет продолжение  на</t>
  </si>
  <si>
    <t>листах, на бланках за №</t>
  </si>
  <si>
    <t>-----------</t>
  </si>
  <si>
    <t>Наценка, %</t>
  </si>
  <si>
    <t>и содержит два порядковый номерова записей</t>
  </si>
  <si>
    <t>Складские или транспортные расходы</t>
  </si>
  <si>
    <t>Всего наименований</t>
  </si>
  <si>
    <t>одно</t>
  </si>
  <si>
    <t>Масса груза (нетто)</t>
  </si>
  <si>
    <t>т</t>
  </si>
  <si>
    <t>(прописью)</t>
  </si>
  <si>
    <t>Всего мест</t>
  </si>
  <si>
    <t>Масса груза (брутто)</t>
  </si>
  <si>
    <t>Всего к оплате</t>
  </si>
  <si>
    <t xml:space="preserve">Приложение (паспорта, сертификаты и т.п.) </t>
  </si>
  <si>
    <t>листах</t>
  </si>
  <si>
    <t>По доверенности №</t>
  </si>
  <si>
    <t>от «</t>
  </si>
  <si>
    <t>»</t>
  </si>
  <si>
    <t xml:space="preserve"> г.</t>
  </si>
  <si>
    <t>Всего отпущено на сумму</t>
  </si>
  <si>
    <t>руб.</t>
  </si>
  <si>
    <t>коп.</t>
  </si>
  <si>
    <t>выданной</t>
  </si>
  <si>
    <t>ООО "ТЛ-компания"</t>
  </si>
  <si>
    <t>Главный (старший)</t>
  </si>
  <si>
    <t>Груз к перевозке принял</t>
  </si>
  <si>
    <t>водитель</t>
  </si>
  <si>
    <t>Отпуск разрешил</t>
  </si>
  <si>
    <t>Ген. директор</t>
  </si>
  <si>
    <t>Тарбаев Д.А.</t>
  </si>
  <si>
    <t>бухгалтер</t>
  </si>
  <si>
    <t>Трегубова Е.Ф.</t>
  </si>
  <si>
    <t>(При личном приеме товара по количеству и ассортименту)</t>
  </si>
  <si>
    <t>Отпуск груза произвел</t>
  </si>
  <si>
    <t>кладовщик</t>
  </si>
  <si>
    <t>Куликов Н.С.</t>
  </si>
  <si>
    <t>(должность)</t>
  </si>
  <si>
    <t>(подпись)</t>
  </si>
  <si>
    <t>(расшифровка подписи)</t>
  </si>
  <si>
    <t>М.П.</t>
  </si>
  <si>
    <t>Груз получил грузополучатель</t>
  </si>
  <si>
    <t>2. ТРАНСПОРТНЫЙ РАЗДЕЛ</t>
  </si>
  <si>
    <t>Оборотная сторона формы № 1-Т</t>
  </si>
  <si>
    <t>Срок доставки груза</t>
  </si>
  <si>
    <t>ТТН №</t>
  </si>
  <si>
    <t>Организация</t>
  </si>
  <si>
    <t>ООО "ТЛ-компания", 109316, Москва г, ул. Талалихина, д. 41, стр. 29, комн. 310</t>
  </si>
  <si>
    <t>К путевому</t>
  </si>
  <si>
    <t>Автомобиль</t>
  </si>
  <si>
    <t>Государственный номерной знак</t>
  </si>
  <si>
    <t>листу №</t>
  </si>
  <si>
    <t>Заказчик (плательщик)</t>
  </si>
  <si>
    <t>ООО "Экспресс-почта", г. Санкт-Петербург, Лиговский пр.,д. 50, лит. Н, 1 этаж, р/с 40702810332060000119, ОАО "АЛЬФА-БАНК"</t>
  </si>
  <si>
    <t>Водитель</t>
  </si>
  <si>
    <t>Удостоверение №</t>
  </si>
  <si>
    <t>Лицензионная карточка</t>
  </si>
  <si>
    <t>стандартная, ограниченная</t>
  </si>
  <si>
    <t>Вид перевозки</t>
  </si>
  <si>
    <t>коммерческая</t>
  </si>
  <si>
    <t>Код</t>
  </si>
  <si>
    <t>(ненужное зачеркнуть)</t>
  </si>
  <si>
    <t>Регистрационный №</t>
  </si>
  <si>
    <t>Серия</t>
  </si>
  <si>
    <t>Пункт погрузки</t>
  </si>
  <si>
    <t>г. Санкт-Петербург, Лиговский пр.,д. 50, корп. 12</t>
  </si>
  <si>
    <t>Пункт разгрузки</t>
  </si>
  <si>
    <t>г. Москва, ул. Золоторожский вал д. 4А, стр.2</t>
  </si>
  <si>
    <t>Маршрут</t>
  </si>
  <si>
    <t>(адрес, номер телефона)</t>
  </si>
  <si>
    <t>Переадресовка</t>
  </si>
  <si>
    <t>1. Прицеп</t>
  </si>
  <si>
    <t>Гаражный номер</t>
  </si>
  <si>
    <t>(наименование и адрес нового грузополучателя, номер распоряжения)</t>
  </si>
  <si>
    <t>(марка)</t>
  </si>
  <si>
    <t>2. Прицеп</t>
  </si>
  <si>
    <t>(подпись ответственного лица)</t>
  </si>
  <si>
    <t>С В Е Д Е Н И Я   О   Г Р У З Е</t>
  </si>
  <si>
    <t>Краткое наименование груза</t>
  </si>
  <si>
    <t>С грузом следуют документы</t>
  </si>
  <si>
    <t>Количество мест</t>
  </si>
  <si>
    <t>Способ определения массы</t>
  </si>
  <si>
    <t>Код груза</t>
  </si>
  <si>
    <t>Номер конт.</t>
  </si>
  <si>
    <t>Класс груза</t>
  </si>
  <si>
    <t>Масса брутто,
т</t>
  </si>
  <si>
    <t>1.</t>
  </si>
  <si>
    <t>нормативный</t>
  </si>
  <si>
    <t>2.</t>
  </si>
  <si>
    <t>Указанный груз с исправной</t>
  </si>
  <si>
    <t>Количество</t>
  </si>
  <si>
    <t>Итого: масса брутто, т</t>
  </si>
  <si>
    <t>пломбой, тарой и упаковкой</t>
  </si>
  <si>
    <t>мест</t>
  </si>
  <si>
    <t>ездок, заездов</t>
  </si>
  <si>
    <t>(оттиск)</t>
  </si>
  <si>
    <t>Массой брутто</t>
  </si>
  <si>
    <t xml:space="preserve"> Отметки о составленных актах</t>
  </si>
  <si>
    <t>Сдал</t>
  </si>
  <si>
    <t>сдал водитель-экспедитор</t>
  </si>
  <si>
    <t xml:space="preserve"> Транспортные услуги</t>
  </si>
  <si>
    <t>Принял водитель-</t>
  </si>
  <si>
    <t>место для штампа</t>
  </si>
  <si>
    <t>экспедитор</t>
  </si>
  <si>
    <t>Принял</t>
  </si>
  <si>
    <t>П О Г Р У З О Ч Н О - Р А З Г Р У З О Ч Н Ы Е   О П Е Р А Ц И И</t>
  </si>
  <si>
    <t>операция</t>
  </si>
  <si>
    <t>исполнитель (автовладелец,
получатель, отправитель)</t>
  </si>
  <si>
    <t>дополнительные операции
(наименование, количество)</t>
  </si>
  <si>
    <t>механизм, грузоподъемность,
емкость ковша</t>
  </si>
  <si>
    <t>способ</t>
  </si>
  <si>
    <t>дата (число, месяц), время, ч, мин.</t>
  </si>
  <si>
    <t>время допол-
нительных
операций, мин.</t>
  </si>
  <si>
    <t>подпись ответ-
ственного лица</t>
  </si>
  <si>
    <t>ручной, механизированный, наливом, самосвалом</t>
  </si>
  <si>
    <t>код</t>
  </si>
  <si>
    <t>прибытия</t>
  </si>
  <si>
    <t>убытия</t>
  </si>
  <si>
    <t>погрузка</t>
  </si>
  <si>
    <t>ООО "Экспресс-почта"</t>
  </si>
  <si>
    <t>ручной</t>
  </si>
  <si>
    <t>разгрузка</t>
  </si>
  <si>
    <t>ООО "Экспресс-почта СТ"</t>
  </si>
  <si>
    <t>П Р О Ч И Е   С В Е Д Е Н И Я  (заполняется организацией, владельцем автотранспорта)</t>
  </si>
  <si>
    <t>расстояние перевозки по группам дорог, км</t>
  </si>
  <si>
    <t>за транспортные услуги</t>
  </si>
  <si>
    <t>сумма штрафа за непра-
вильное оформление 
документов, руб. коп.</t>
  </si>
  <si>
    <t>поправочный коэффициент</t>
  </si>
  <si>
    <t>время простоя, ч, мин.</t>
  </si>
  <si>
    <t>Таксировка:</t>
  </si>
  <si>
    <t>всего</t>
  </si>
  <si>
    <t>в гор.</t>
  </si>
  <si>
    <t>I гр.</t>
  </si>
  <si>
    <t>II гр.</t>
  </si>
  <si>
    <t>III гр.</t>
  </si>
  <si>
    <t>экспеди-</t>
  </si>
  <si>
    <t>с клиента</t>
  </si>
  <si>
    <t>причитается
водителю</t>
  </si>
  <si>
    <t>расценка водителю</t>
  </si>
  <si>
    <t>основной
тариф</t>
  </si>
  <si>
    <t>под погруз-
кой</t>
  </si>
  <si>
    <t>под раз-
грузкой</t>
  </si>
  <si>
    <t>рования</t>
  </si>
  <si>
    <t>груза</t>
  </si>
  <si>
    <t>СУММА ПРОПИСЬЮ</t>
  </si>
  <si>
    <t>Константы:</t>
  </si>
  <si>
    <t>Случайные числа:</t>
  </si>
  <si>
    <t>Формула РУС: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</si>
  <si>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n0x;ПСТР(ТЕКСТ(A1;n0);11;1)+1;ПСТР(ТЕКСТ(A1;n0);12;1)+1));"z";" ")&amp;ЕСЛИ(ОТБР(ТЕКСТ(A1;n0));"";"Ноль ")&amp;"рубл"&amp;ВПР(ОСТАТ(МАКС(ОСТАТ(ПСТР(ТЕКСТ(A1;n0);11;2)-11;100);9);10);{0;"ь ":1;"я ":4;"ей "};2)&amp;ПРАВСИМВ(ТЕКСТ(A1;n0);2)&amp;" копе"&amp;ВПР(ОСТАТ(МАКС(ОСТАТ(ПРАВСИМВ(ТЕКСТ(A1;n0);2)-11;100);9);10);{0;"йка":1;"йки":4;"ек"};2)</t>
  </si>
  <si>
    <t>Длина:</t>
  </si>
  <si>
    <t>Формула ENG: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</si>
  <si>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n0x,MID(TEXT(A1,n0),11,1)+1,MID(TEXT(A1,n0),12,1)+1)),"z"," ")&amp;IF(TRUNC(TEXT(A1,n0)),"","Ноль ")&amp;"рубл"&amp;VLOOKUP(MOD(MAX(MOD(MID(TEXT(A1,n0),11,2)-11,100),9),10),{0,"ь ";1,"я ";4,"ей "},2)&amp;RIGHT(TEXT(A1,n0),2)&amp;" копе"&amp;VLOOKUP(MOD(MAX(MOD(RIGHT(TEXT(A1,n0),2)-11,100),9),10),{0,"йка";1,"йки";4,"ек"},2)</t>
  </si>
  <si>
    <t>Имена:</t>
  </si>
  <si>
    <t>n_1</t>
  </si>
  <si>
    <t>={"";"одинz";"дваz";"триz";"четыреz";"пятьz";"шестьz";"семьz";"восемьz";"девятьz"}</t>
  </si>
  <si>
    <t>n_2</t>
  </si>
  <si>
    <t>={"десятьz";"одиннадцатьz";"двенадцатьz";"тринадцатьz";"четырнадцатьz";"пятнадцатьz";"шестнадцатьz";"семнадцатьz";"восемнадцатьz";"девятнадцатьz"}</t>
  </si>
  <si>
    <t>n_3</t>
  </si>
  <si>
    <t>={"":1:"двадцатьz":"тридцатьz":"сорокz":"пятьдесятz":"шестьдесятz":"семьдесятz":"восемьдесятz":"девяностоz"}</t>
  </si>
  <si>
    <t>n_4</t>
  </si>
  <si>
    <t>={"";"стоz";"двестиz";"тристаz";"четырестаz";"пятьсотz";"шестьсотz";"семьсотz";"восемьсотz";"девятьсотz"}</t>
  </si>
  <si>
    <t>n_5</t>
  </si>
  <si>
    <t>={"";"однаz";"двеz";"триz";"четыреz";"пятьz";"шестьz";"семьz";"восемьz";"девятьz"}</t>
  </si>
  <si>
    <t>n0</t>
  </si>
  <si>
    <t>="000000000000"&amp;ПСТР(1/2;2;1)&amp;"00"</t>
  </si>
  <si>
    <t>n0x</t>
  </si>
  <si>
    <t>=ЕСЛИ(n_3=1;n_2;n_3&amp;n_1)</t>
  </si>
  <si>
    <t>n1x</t>
  </si>
  <si>
    <t>=ЕСЛИ(n_3=1;n_2;n_3&amp;n_5)</t>
  </si>
  <si>
    <t>мил</t>
  </si>
  <si>
    <t>={0;"овz":1;"z":2;"аz":5;"овz"}</t>
  </si>
  <si>
    <t>тыс</t>
  </si>
  <si>
    <t>={0;"тысячz":1;"тысячаz":2;"тысячиz":5;"тысячz"}</t>
  </si>
  <si>
    <t>SernameDrTd</t>
  </si>
  <si>
    <t>NameDr</t>
  </si>
  <si>
    <t>LastnameDr</t>
  </si>
  <si>
    <t>Car</t>
  </si>
  <si>
    <t>CarNumb</t>
  </si>
  <si>
    <t>Doc</t>
  </si>
  <si>
    <t>VesTD</t>
  </si>
  <si>
    <t>KolvoTD</t>
  </si>
  <si>
    <t>Data</t>
  </si>
  <si>
    <t>Жуков</t>
  </si>
  <si>
    <t>Сергей</t>
  </si>
  <si>
    <t>Алексеевич</t>
  </si>
  <si>
    <t>ФОРД</t>
  </si>
  <si>
    <t>А 935 ЕН 77</t>
  </si>
  <si>
    <t>50 34 398537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</si>
</sst>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dd\-mmm\-yy"/>
  </numFmts>
  <fonts count="29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.5"/>
      <name val="Times New Roman"/>
      <family val="1"/>
      <charset val="204"/>
    </font>
    <font>
      <sz val="11"/>
      <name val="Times New Roman"/>
      <family val="1"/>
      <charset val="204"/>
    </font>
    <font>
      <u/>
      <sz val="10"/>
      <color indexed="12"/>
      <name val="Arial Cyr"/>
      <charset val="204"/>
    </font>
    <font>
      <b/>
      <sz val="12"/>
      <name val="Times New Roman"/>
      <family val="1"/>
      <charset val="204"/>
    </font>
    <font>
      <sz val="6"/>
      <name val="Times New Roman"/>
      <family val="1"/>
      <charset val="204"/>
    </font>
    <font>
      <sz val="9.5"/>
      <name val="Times New Roman"/>
      <family val="1"/>
      <charset val="204"/>
    </font>
    <font>
      <sz val="7"/>
      <name val="Times New Roman"/>
      <family val="1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5.5"/>
      <name val="Times New Roman"/>
      <family val="1"/>
      <charset val="204"/>
    </font>
    <font>
      <b/>
      <sz val="8"/>
      <name val="Times New Roman"/>
      <family val="1"/>
      <charset val="204"/>
    </font>
    <font>
      <sz val="7.5"/>
      <name val="Times New Roman"/>
      <family val="1"/>
      <charset val="204"/>
    </font>
    <font>
      <sz val="7.5"/>
      <name val="Arial Cyr"/>
      <charset val="204"/>
    </font>
    <font>
      <sz val="9"/>
      <name val="Arial Cyr"/>
      <charset val="204"/>
    </font>
    <font>
      <sz val="5"/>
      <name val="Times New Roman"/>
      <family val="1"/>
      <charset val="204"/>
    </font>
    <font>
      <sz val="6.5"/>
      <name val="Times New Roman"/>
      <family val="1"/>
      <charset val="204"/>
    </font>
    <font>
      <sz val="10"/>
      <color indexed="8"/>
      <name val="Arial"/>
      <family val="2"/>
      <charset val="204"/>
    </font>
    <font>
      <sz val="11"/>
      <color indexed="8"/>
      <name val="Century Gothic"/>
      <family val="2"/>
      <charset val="204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4"/>
      <name val="Arial"/>
      <family val="2"/>
    </font>
    <font>
      <sz val="10"/>
      <name val="Arial"/>
      <family val="2"/>
      <charset val="204"/>
    </font>
    <font>
      <sz val="8"/>
      <name val="Arial"/>
      <family val="2"/>
    </font>
    <font>
      <i/>
      <sz val="10"/>
      <name val="Arial"/>
      <family val="2"/>
      <charset val="204"/>
    </font>
    <font>
      <b/>
      <sz val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0C0C0"/>
        <bgColor rgb="FFC0C0C0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">
    <xf numFmtId="0" fontId="0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499">
    <xf numFmtId="0" fontId="0" fillId="0" borderId="0" xfId="0"/>
    <xf numFmtId="0" fontId="2" fillId="0" borderId="0" xfId="1" applyFont="1"/>
    <xf numFmtId="0" fontId="3" fillId="0" borderId="0" xfId="1" applyFont="1"/>
    <xf numFmtId="0" fontId="4" fillId="0" borderId="0" xfId="1" applyFont="1"/>
    <xf numFmtId="0" fontId="5" fillId="0" borderId="0" xfId="1" applyFont="1"/>
    <xf numFmtId="0" fontId="2" fillId="0" borderId="0" xfId="1" applyFont="1" applyAlignment="1">
      <alignment vertical="center"/>
    </xf>
    <xf numFmtId="0" fontId="7" fillId="0" borderId="0" xfId="2" applyFont="1" applyAlignment="1" applyProtection="1"/>
    <xf numFmtId="0" fontId="8" fillId="0" borderId="0" xfId="1" applyFont="1" applyBorder="1" applyAlignment="1">
      <alignment horizontal="center" vertical="top"/>
    </xf>
    <xf numFmtId="0" fontId="2" fillId="0" borderId="0" xfId="1" applyFont="1" applyAlignment="1">
      <alignment horizontal="right"/>
    </xf>
    <xf numFmtId="0" fontId="3" fillId="0" borderId="0" xfId="1" applyFont="1" applyBorder="1" applyAlignment="1"/>
    <xf numFmtId="0" fontId="3" fillId="0" borderId="42" xfId="1" applyFont="1" applyBorder="1" applyAlignment="1"/>
    <xf numFmtId="0" fontId="3" fillId="0" borderId="42" xfId="1" applyFont="1" applyBorder="1"/>
    <xf numFmtId="0" fontId="3" fillId="0" borderId="42" xfId="1" quotePrefix="1" applyFont="1" applyBorder="1" applyAlignment="1">
      <alignment vertical="center"/>
    </xf>
    <xf numFmtId="0" fontId="3" fillId="0" borderId="42" xfId="1" applyFont="1" applyBorder="1" applyAlignment="1">
      <alignment vertical="center"/>
    </xf>
    <xf numFmtId="0" fontId="2" fillId="0" borderId="42" xfId="1" applyFont="1" applyBorder="1"/>
    <xf numFmtId="0" fontId="2" fillId="0" borderId="0" xfId="1" applyFont="1" applyBorder="1"/>
    <xf numFmtId="0" fontId="8" fillId="0" borderId="0" xfId="1" applyFont="1" applyBorder="1" applyAlignment="1"/>
    <xf numFmtId="0" fontId="3" fillId="0" borderId="0" xfId="1" applyFont="1" applyAlignment="1">
      <alignment vertical="center"/>
    </xf>
    <xf numFmtId="0" fontId="2" fillId="0" borderId="0" xfId="1" applyFont="1" applyFill="1" applyBorder="1"/>
    <xf numFmtId="0" fontId="3" fillId="0" borderId="0" xfId="1" applyFont="1" applyFill="1" applyBorder="1" applyAlignment="1">
      <alignment horizontal="center"/>
    </xf>
    <xf numFmtId="0" fontId="3" fillId="0" borderId="0" xfId="1" applyFont="1" applyFill="1" applyBorder="1" applyAlignment="1"/>
    <xf numFmtId="0" fontId="2" fillId="0" borderId="0" xfId="1" applyFont="1" applyFill="1"/>
    <xf numFmtId="0" fontId="8" fillId="0" borderId="0" xfId="1" applyFont="1" applyBorder="1" applyAlignment="1">
      <alignment vertical="top"/>
    </xf>
    <xf numFmtId="0" fontId="2" fillId="0" borderId="54" xfId="1" applyFont="1" applyBorder="1"/>
    <xf numFmtId="0" fontId="3" fillId="0" borderId="0" xfId="1" applyFont="1" applyAlignment="1">
      <alignment horizontal="left"/>
    </xf>
    <xf numFmtId="0" fontId="3" fillId="0" borderId="0" xfId="1" applyFont="1" applyFill="1" applyAlignment="1">
      <alignment horizontal="left"/>
    </xf>
    <xf numFmtId="49" fontId="3" fillId="0" borderId="0" xfId="1" applyNumberFormat="1" applyFont="1" applyFill="1" applyBorder="1" applyAlignment="1">
      <alignment horizontal="center"/>
    </xf>
    <xf numFmtId="0" fontId="3" fillId="0" borderId="0" xfId="1" applyFont="1" applyFill="1" applyBorder="1"/>
    <xf numFmtId="49" fontId="3" fillId="0" borderId="0" xfId="1" applyNumberFormat="1" applyFont="1" applyFill="1" applyBorder="1"/>
    <xf numFmtId="0" fontId="3" fillId="0" borderId="0" xfId="1" applyFont="1" applyBorder="1" applyAlignment="1">
      <alignment horizontal="left"/>
    </xf>
    <xf numFmtId="0" fontId="3" fillId="0" borderId="0" xfId="1" applyFont="1" applyFill="1" applyBorder="1" applyAlignment="1">
      <alignment horizontal="left"/>
    </xf>
    <xf numFmtId="49" fontId="3" fillId="0" borderId="0" xfId="1" applyNumberFormat="1" applyFont="1" applyBorder="1"/>
    <xf numFmtId="0" fontId="3" fillId="0" borderId="0" xfId="1" applyFont="1" applyBorder="1"/>
    <xf numFmtId="49" fontId="3" fillId="0" borderId="0" xfId="1" applyNumberFormat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3" fillId="0" borderId="7" xfId="1" applyFont="1" applyBorder="1" applyAlignment="1">
      <alignment horizontal="center" wrapText="1"/>
    </xf>
    <xf numFmtId="0" fontId="8" fillId="0" borderId="0" xfId="1" applyFont="1" applyBorder="1" applyAlignment="1">
      <alignment horizontal="center"/>
    </xf>
    <xf numFmtId="0" fontId="11" fillId="0" borderId="0" xfId="1" applyFont="1"/>
    <xf numFmtId="0" fontId="12" fillId="0" borderId="0" xfId="1" applyFont="1" applyAlignment="1"/>
    <xf numFmtId="0" fontId="12" fillId="0" borderId="0" xfId="1" applyFont="1" applyAlignment="1">
      <alignment vertical="top"/>
    </xf>
    <xf numFmtId="0" fontId="8" fillId="0" borderId="0" xfId="1" applyFont="1"/>
    <xf numFmtId="0" fontId="8" fillId="0" borderId="0" xfId="1" applyFont="1" applyAlignment="1">
      <alignment horizontal="center"/>
    </xf>
    <xf numFmtId="0" fontId="12" fillId="0" borderId="0" xfId="1" applyFont="1"/>
    <xf numFmtId="0" fontId="3" fillId="0" borderId="54" xfId="1" applyFont="1" applyBorder="1" applyAlignment="1">
      <alignment horizontal="left"/>
    </xf>
    <xf numFmtId="0" fontId="11" fillId="0" borderId="7" xfId="1" applyFont="1" applyBorder="1" applyAlignment="1">
      <alignment horizontal="center"/>
    </xf>
    <xf numFmtId="164" fontId="3" fillId="0" borderId="0" xfId="1" applyNumberFormat="1" applyFont="1" applyAlignment="1">
      <alignment horizontal="left"/>
    </xf>
    <xf numFmtId="0" fontId="11" fillId="0" borderId="0" xfId="1" applyFont="1" applyBorder="1" applyAlignment="1">
      <alignment horizontal="center"/>
    </xf>
    <xf numFmtId="0" fontId="3" fillId="0" borderId="0" xfId="1" applyFont="1" applyAlignment="1">
      <alignment vertical="top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right" vertical="center"/>
    </xf>
    <xf numFmtId="0" fontId="1" fillId="0" borderId="0" xfId="1"/>
    <xf numFmtId="0" fontId="11" fillId="0" borderId="0" xfId="1" applyFont="1" applyAlignment="1">
      <alignment horizontal="right" vertical="top"/>
    </xf>
    <xf numFmtId="0" fontId="11" fillId="0" borderId="0" xfId="1" applyFont="1" applyAlignment="1">
      <alignment horizontal="right"/>
    </xf>
    <xf numFmtId="0" fontId="11" fillId="0" borderId="0" xfId="1" applyFont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11" fillId="0" borderId="0" xfId="1" applyFont="1" applyFill="1"/>
    <xf numFmtId="0" fontId="11" fillId="0" borderId="0" xfId="1" applyFont="1" applyFill="1" applyAlignment="1">
      <alignment horizontal="left"/>
    </xf>
    <xf numFmtId="49" fontId="11" fillId="0" borderId="0" xfId="1" applyNumberFormat="1" applyFont="1" applyFill="1" applyBorder="1" applyAlignment="1">
      <alignment horizontal="center"/>
    </xf>
    <xf numFmtId="0" fontId="11" fillId="0" borderId="0" xfId="1" applyFont="1" applyAlignment="1"/>
    <xf numFmtId="0" fontId="13" fillId="0" borderId="0" xfId="1" applyFont="1"/>
    <xf numFmtId="0" fontId="13" fillId="0" borderId="0" xfId="1" applyFont="1" applyBorder="1" applyAlignment="1">
      <alignment horizontal="center" vertical="top"/>
    </xf>
    <xf numFmtId="0" fontId="13" fillId="0" borderId="0" xfId="1" applyFont="1" applyBorder="1" applyAlignment="1">
      <alignment horizontal="left" vertical="top" indent="10"/>
    </xf>
    <xf numFmtId="0" fontId="13" fillId="0" borderId="0" xfId="1" applyFont="1" applyBorder="1" applyAlignment="1">
      <alignment horizontal="center" vertical="center"/>
    </xf>
    <xf numFmtId="0" fontId="13" fillId="0" borderId="0" xfId="1" applyFont="1" applyBorder="1" applyAlignment="1">
      <alignment horizontal="left" vertical="center" indent="10"/>
    </xf>
    <xf numFmtId="0" fontId="11" fillId="0" borderId="0" xfId="1" applyFont="1" applyBorder="1"/>
    <xf numFmtId="0" fontId="11" fillId="0" borderId="15" xfId="1" applyFont="1" applyBorder="1"/>
    <xf numFmtId="0" fontId="13" fillId="0" borderId="2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49" fontId="11" fillId="0" borderId="0" xfId="1" applyNumberFormat="1" applyFont="1" applyBorder="1" applyAlignment="1">
      <alignment horizontal="left"/>
    </xf>
    <xf numFmtId="49" fontId="11" fillId="0" borderId="0" xfId="1" applyNumberFormat="1" applyFont="1" applyBorder="1" applyAlignment="1">
      <alignment horizontal="center"/>
    </xf>
    <xf numFmtId="0" fontId="11" fillId="0" borderId="0" xfId="1" applyFont="1" applyBorder="1" applyAlignment="1">
      <alignment horizontal="right"/>
    </xf>
    <xf numFmtId="49" fontId="11" fillId="0" borderId="0" xfId="1" applyNumberFormat="1" applyFont="1" applyBorder="1" applyAlignment="1">
      <alignment horizontal="left" vertical="center"/>
    </xf>
    <xf numFmtId="49" fontId="11" fillId="0" borderId="0" xfId="1" applyNumberFormat="1" applyFont="1" applyBorder="1" applyAlignment="1">
      <alignment horizontal="center" vertical="center"/>
    </xf>
    <xf numFmtId="0" fontId="17" fillId="0" borderId="0" xfId="1" applyFont="1" applyAlignment="1">
      <alignment vertical="center"/>
    </xf>
    <xf numFmtId="0" fontId="11" fillId="0" borderId="87" xfId="1" applyFont="1" applyFill="1" applyBorder="1" applyAlignment="1">
      <alignment vertical="center"/>
    </xf>
    <xf numFmtId="0" fontId="11" fillId="0" borderId="53" xfId="1" applyFont="1" applyBorder="1"/>
    <xf numFmtId="0" fontId="11" fillId="0" borderId="0" xfId="1" applyFont="1" applyBorder="1" applyAlignment="1">
      <alignment vertical="center"/>
    </xf>
    <xf numFmtId="0" fontId="11" fillId="0" borderId="0" xfId="1" applyFont="1" applyFill="1" applyBorder="1" applyAlignment="1">
      <alignment vertical="center"/>
    </xf>
    <xf numFmtId="0" fontId="11" fillId="0" borderId="0" xfId="1" applyFont="1" applyFill="1" applyAlignment="1">
      <alignment vertical="center"/>
    </xf>
    <xf numFmtId="0" fontId="11" fillId="0" borderId="53" xfId="1" applyFont="1" applyBorder="1" applyAlignment="1">
      <alignment horizontal="left" vertical="center"/>
    </xf>
    <xf numFmtId="0" fontId="13" fillId="0" borderId="53" xfId="1" applyFont="1" applyBorder="1" applyAlignment="1">
      <alignment horizontal="center" vertical="top"/>
    </xf>
    <xf numFmtId="0" fontId="13" fillId="0" borderId="0" xfId="1" applyFont="1" applyBorder="1"/>
    <xf numFmtId="0" fontId="13" fillId="0" borderId="0" xfId="1" applyFont="1" applyAlignment="1">
      <alignment horizontal="center"/>
    </xf>
    <xf numFmtId="0" fontId="11" fillId="0" borderId="54" xfId="1" applyFont="1" applyBorder="1"/>
    <xf numFmtId="0" fontId="18" fillId="0" borderId="0" xfId="1" applyFont="1" applyAlignment="1">
      <alignment horizontal="center" vertical="top"/>
    </xf>
    <xf numFmtId="0" fontId="11" fillId="0" borderId="0" xfId="1" applyFont="1" applyAlignment="1">
      <alignment vertical="top"/>
    </xf>
    <xf numFmtId="0" fontId="19" fillId="0" borderId="0" xfId="1" applyFont="1" applyAlignment="1">
      <alignment horizontal="left" vertical="top" wrapText="1"/>
    </xf>
    <xf numFmtId="0" fontId="11" fillId="0" borderId="0" xfId="1" applyFont="1" applyBorder="1" applyAlignment="1"/>
    <xf numFmtId="0" fontId="19" fillId="0" borderId="0" xfId="1" applyFont="1" applyAlignment="1">
      <alignment horizontal="center"/>
    </xf>
    <xf numFmtId="0" fontId="19" fillId="0" borderId="0" xfId="1" applyFont="1" applyBorder="1" applyAlignment="1">
      <alignment horizontal="center"/>
    </xf>
    <xf numFmtId="0" fontId="11" fillId="0" borderId="19" xfId="1" applyFont="1" applyBorder="1"/>
    <xf numFmtId="0" fontId="18" fillId="0" borderId="19" xfId="1" applyFont="1" applyBorder="1" applyAlignment="1">
      <alignment horizontal="center" vertical="top"/>
    </xf>
    <xf numFmtId="0" fontId="1" fillId="0" borderId="19" xfId="1" applyBorder="1"/>
    <xf numFmtId="0" fontId="18" fillId="0" borderId="0" xfId="1" applyFont="1" applyBorder="1" applyAlignment="1">
      <alignment horizontal="center" vertical="top"/>
    </xf>
    <xf numFmtId="0" fontId="21" fillId="3" borderId="108" xfId="3" applyFont="1" applyFill="1" applyBorder="1" applyAlignment="1">
      <alignment horizontal="center"/>
    </xf>
    <xf numFmtId="0" fontId="22" fillId="4" borderId="25" xfId="1" applyFont="1" applyFill="1" applyBorder="1" applyAlignment="1" applyProtection="1">
      <alignment horizontal="center" vertical="center"/>
    </xf>
    <xf numFmtId="14" fontId="1" fillId="0" borderId="0" xfId="1" applyNumberFormat="1"/>
    <xf numFmtId="0" fontId="21" fillId="0" borderId="109" xfId="3" applyFont="1" applyFill="1" applyBorder="1" applyAlignment="1">
      <alignment horizontal="right" wrapText="1"/>
    </xf>
    <xf numFmtId="0" fontId="21" fillId="0" borderId="109" xfId="3" applyFont="1" applyFill="1" applyBorder="1" applyAlignment="1">
      <alignment wrapText="1"/>
    </xf>
    <xf numFmtId="0" fontId="23" fillId="0" borderId="110" xfId="1" applyFont="1" applyFill="1" applyBorder="1" applyAlignment="1" applyProtection="1">
      <alignment horizontal="right" vertical="center" wrapText="1"/>
    </xf>
    <xf numFmtId="165" fontId="23" fillId="0" borderId="110" xfId="1" applyNumberFormat="1" applyFont="1" applyFill="1" applyBorder="1" applyAlignment="1" applyProtection="1">
      <alignment horizontal="right" vertical="center" wrapText="1"/>
    </xf>
    <xf numFmtId="0" fontId="24" fillId="0" borderId="0" xfId="1" applyFont="1"/>
    <xf numFmtId="0" fontId="25" fillId="0" borderId="0" xfId="1" quotePrefix="1" applyFont="1"/>
    <xf numFmtId="0" fontId="26" fillId="0" borderId="0" xfId="1" applyFont="1"/>
    <xf numFmtId="0" fontId="27" fillId="0" borderId="0" xfId="1" applyFont="1"/>
    <xf numFmtId="4" fontId="1" fillId="0" borderId="0" xfId="1" applyNumberFormat="1"/>
    <xf numFmtId="0" fontId="28" fillId="0" borderId="0" xfId="1" applyFont="1"/>
    <xf numFmtId="0" fontId="1" fillId="0" borderId="0" xfId="1" quotePrefix="1"/>
    <xf numFmtId="4" fontId="28" fillId="0" borderId="0" xfId="1" applyNumberFormat="1" applyFont="1"/>
    <xf numFmtId="0" fontId="1" fillId="0" borderId="0" xfId="1" quotePrefix="1" applyAlignment="1"/>
    <xf numFmtId="0" fontId="1" fillId="0" borderId="0" xfId="1" applyAlignment="1"/>
    <xf numFmtId="0" fontId="1" fillId="0" borderId="0" xfId="1" quotePrefix="1" applyFill="1" applyAlignment="1"/>
    <xf numFmtId="0" fontId="1" fillId="0" borderId="0" xfId="1" applyNumberFormat="1"/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49" fontId="2" fillId="0" borderId="4" xfId="1" applyNumberFormat="1" applyFont="1" applyBorder="1" applyAlignment="1">
      <alignment horizontal="center" vertical="center"/>
    </xf>
    <xf numFmtId="49" fontId="2" fillId="0" borderId="5" xfId="1" applyNumberFormat="1" applyFont="1" applyBorder="1" applyAlignment="1">
      <alignment horizontal="center" vertical="center"/>
    </xf>
    <xf numFmtId="49" fontId="2" fillId="0" borderId="6" xfId="1" applyNumberFormat="1" applyFont="1" applyBorder="1" applyAlignment="1">
      <alignment horizontal="center" vertical="center"/>
    </xf>
    <xf numFmtId="49" fontId="7" fillId="0" borderId="7" xfId="1" applyNumberFormat="1" applyFont="1" applyBorder="1" applyAlignment="1">
      <alignment horizontal="center"/>
    </xf>
    <xf numFmtId="1" fontId="3" fillId="0" borderId="8" xfId="1" applyNumberFormat="1" applyFont="1" applyFill="1" applyBorder="1" applyAlignment="1">
      <alignment horizontal="center" vertical="center"/>
    </xf>
    <xf numFmtId="1" fontId="3" fillId="0" borderId="9" xfId="1" applyNumberFormat="1" applyFont="1" applyFill="1" applyBorder="1" applyAlignment="1">
      <alignment horizontal="center" vertical="center"/>
    </xf>
    <xf numFmtId="1" fontId="3" fillId="0" borderId="10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11" xfId="1" applyNumberFormat="1" applyFont="1" applyFill="1" applyBorder="1" applyAlignment="1">
      <alignment horizontal="center" vertical="center"/>
    </xf>
    <xf numFmtId="0" fontId="9" fillId="0" borderId="2" xfId="1" applyNumberFormat="1" applyFont="1" applyFill="1" applyBorder="1" applyAlignment="1">
      <alignment horizontal="center" vertical="center"/>
    </xf>
    <xf numFmtId="0" fontId="9" fillId="0" borderId="12" xfId="1" applyNumberFormat="1" applyFont="1" applyFill="1" applyBorder="1" applyAlignment="1">
      <alignment horizontal="center" vertical="center"/>
    </xf>
    <xf numFmtId="0" fontId="9" fillId="0" borderId="13" xfId="1" applyNumberFormat="1" applyFont="1" applyFill="1" applyBorder="1" applyAlignment="1">
      <alignment horizontal="center" vertical="center"/>
    </xf>
    <xf numFmtId="0" fontId="9" fillId="0" borderId="7" xfId="1" applyNumberFormat="1" applyFont="1" applyFill="1" applyBorder="1" applyAlignment="1">
      <alignment horizontal="center" vertical="center"/>
    </xf>
    <xf numFmtId="0" fontId="9" fillId="0" borderId="14" xfId="1" applyNumberFormat="1" applyFont="1" applyFill="1" applyBorder="1" applyAlignment="1">
      <alignment horizontal="center" vertical="center"/>
    </xf>
    <xf numFmtId="0" fontId="2" fillId="0" borderId="0" xfId="1" applyFont="1"/>
    <xf numFmtId="0" fontId="8" fillId="0" borderId="2" xfId="1" applyFont="1" applyBorder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49" fontId="2" fillId="0" borderId="11" xfId="1" applyNumberFormat="1" applyFont="1" applyBorder="1" applyAlignment="1">
      <alignment horizontal="center" vertical="center"/>
    </xf>
    <xf numFmtId="49" fontId="2" fillId="0" borderId="2" xfId="1" applyNumberFormat="1" applyFont="1" applyBorder="1" applyAlignment="1">
      <alignment horizontal="center" vertical="center"/>
    </xf>
    <xf numFmtId="49" fontId="2" fillId="0" borderId="12" xfId="1" applyNumberFormat="1" applyFont="1" applyBorder="1" applyAlignment="1">
      <alignment horizontal="center" vertical="center"/>
    </xf>
    <xf numFmtId="49" fontId="2" fillId="0" borderId="16" xfId="1" applyNumberFormat="1" applyFont="1" applyBorder="1" applyAlignment="1">
      <alignment horizontal="center" vertical="center"/>
    </xf>
    <xf numFmtId="49" fontId="2" fillId="0" borderId="17" xfId="1" applyNumberFormat="1" applyFont="1" applyBorder="1" applyAlignment="1">
      <alignment horizontal="center" vertical="center"/>
    </xf>
    <xf numFmtId="49" fontId="2" fillId="0" borderId="18" xfId="1" applyNumberFormat="1" applyFont="1" applyBorder="1" applyAlignment="1">
      <alignment horizontal="center" vertical="center"/>
    </xf>
    <xf numFmtId="0" fontId="3" fillId="0" borderId="7" xfId="1" applyFont="1" applyBorder="1" applyAlignment="1">
      <alignment horizontal="left" vertical="center" wrapText="1"/>
    </xf>
    <xf numFmtId="0" fontId="8" fillId="0" borderId="2" xfId="1" applyFont="1" applyBorder="1" applyAlignment="1">
      <alignment horizontal="center" vertical="top"/>
    </xf>
    <xf numFmtId="0" fontId="9" fillId="0" borderId="0" xfId="1" applyFont="1" applyAlignment="1">
      <alignment horizontal="center"/>
    </xf>
    <xf numFmtId="0" fontId="3" fillId="0" borderId="7" xfId="1" applyFont="1" applyBorder="1" applyAlignment="1">
      <alignment horizontal="left" wrapText="1"/>
    </xf>
    <xf numFmtId="49" fontId="2" fillId="0" borderId="13" xfId="1" applyNumberFormat="1" applyFont="1" applyBorder="1" applyAlignment="1">
      <alignment horizontal="center" vertical="center"/>
    </xf>
    <xf numFmtId="49" fontId="2" fillId="0" borderId="7" xfId="1" applyNumberFormat="1" applyFont="1" applyBorder="1" applyAlignment="1">
      <alignment horizontal="center" vertical="center"/>
    </xf>
    <xf numFmtId="49" fontId="2" fillId="0" borderId="14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/>
    </xf>
    <xf numFmtId="0" fontId="2" fillId="0" borderId="19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10" fillId="0" borderId="21" xfId="1" applyFont="1" applyBorder="1" applyAlignment="1">
      <alignment horizontal="center" vertical="center" wrapText="1"/>
    </xf>
    <xf numFmtId="0" fontId="11" fillId="0" borderId="21" xfId="1" applyFont="1" applyBorder="1" applyAlignment="1">
      <alignment horizontal="center" vertical="center" wrapText="1"/>
    </xf>
    <xf numFmtId="0" fontId="10" fillId="0" borderId="22" xfId="1" applyFont="1" applyBorder="1" applyAlignment="1">
      <alignment horizontal="center" vertical="center" wrapText="1"/>
    </xf>
    <xf numFmtId="0" fontId="11" fillId="0" borderId="24" xfId="1" applyFont="1" applyBorder="1" applyAlignment="1">
      <alignment horizontal="center" vertical="center"/>
    </xf>
    <xf numFmtId="0" fontId="11" fillId="0" borderId="25" xfId="1" applyFont="1" applyBorder="1" applyAlignment="1">
      <alignment horizontal="center" vertical="center"/>
    </xf>
    <xf numFmtId="0" fontId="11" fillId="0" borderId="26" xfId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2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0" fontId="3" fillId="0" borderId="32" xfId="1" applyNumberFormat="1" applyFont="1" applyFill="1" applyBorder="1" applyAlignment="1">
      <alignment horizontal="center" vertical="center"/>
    </xf>
    <xf numFmtId="0" fontId="3" fillId="0" borderId="28" xfId="1" applyNumberFormat="1" applyFont="1" applyFill="1" applyBorder="1" applyAlignment="1">
      <alignment horizontal="center" vertical="center"/>
    </xf>
    <xf numFmtId="0" fontId="3" fillId="0" borderId="28" xfId="1" quotePrefix="1" applyNumberFormat="1" applyFont="1" applyBorder="1" applyAlignment="1">
      <alignment horizontal="center" vertical="center"/>
    </xf>
    <xf numFmtId="0" fontId="3" fillId="0" borderId="28" xfId="1" applyNumberFormat="1" applyFont="1" applyBorder="1" applyAlignment="1">
      <alignment horizontal="center" vertical="center"/>
    </xf>
    <xf numFmtId="0" fontId="3" fillId="0" borderId="29" xfId="1" applyNumberFormat="1" applyFont="1" applyBorder="1" applyAlignment="1">
      <alignment horizontal="center" vertical="center"/>
    </xf>
    <xf numFmtId="0" fontId="3" fillId="0" borderId="39" xfId="1" quotePrefix="1" applyNumberFormat="1" applyFont="1" applyFill="1" applyBorder="1" applyAlignment="1">
      <alignment horizontal="center" vertical="center"/>
    </xf>
    <xf numFmtId="0" fontId="3" fillId="0" borderId="39" xfId="1" applyNumberFormat="1" applyFont="1" applyFill="1" applyBorder="1" applyAlignment="1">
      <alignment horizontal="center" vertical="center"/>
    </xf>
    <xf numFmtId="0" fontId="3" fillId="0" borderId="39" xfId="1" quotePrefix="1" applyNumberFormat="1" applyFont="1" applyBorder="1" applyAlignment="1">
      <alignment horizontal="center" vertical="center"/>
    </xf>
    <xf numFmtId="0" fontId="3" fillId="0" borderId="39" xfId="1" applyNumberFormat="1" applyFont="1" applyBorder="1" applyAlignment="1">
      <alignment horizontal="center" vertical="center"/>
    </xf>
    <xf numFmtId="0" fontId="3" fillId="0" borderId="40" xfId="1" applyNumberFormat="1" applyFont="1" applyBorder="1" applyAlignment="1">
      <alignment horizontal="center" vertical="center"/>
    </xf>
    <xf numFmtId="49" fontId="3" fillId="0" borderId="36" xfId="1" applyNumberFormat="1" applyFont="1" applyBorder="1" applyAlignment="1">
      <alignment horizontal="center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41" xfId="1" applyNumberFormat="1" applyFont="1" applyBorder="1" applyAlignment="1">
      <alignment horizontal="center" vertical="center"/>
    </xf>
    <xf numFmtId="0" fontId="11" fillId="0" borderId="23" xfId="1" applyFont="1" applyBorder="1" applyAlignment="1">
      <alignment horizontal="center" vertical="center"/>
    </xf>
    <xf numFmtId="49" fontId="2" fillId="0" borderId="7" xfId="1" applyNumberFormat="1" applyFont="1" applyBorder="1" applyAlignment="1">
      <alignment horizontal="center"/>
    </xf>
    <xf numFmtId="0" fontId="11" fillId="0" borderId="43" xfId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0" fontId="11" fillId="0" borderId="44" xfId="1" applyFont="1" applyBorder="1" applyAlignment="1">
      <alignment horizontal="center" vertical="center"/>
    </xf>
    <xf numFmtId="0" fontId="11" fillId="0" borderId="45" xfId="1" quotePrefix="1" applyNumberFormat="1" applyFont="1" applyBorder="1" applyAlignment="1">
      <alignment horizontal="center" vertical="center"/>
    </xf>
    <xf numFmtId="0" fontId="11" fillId="0" borderId="7" xfId="1" applyNumberFormat="1" applyFont="1" applyBorder="1" applyAlignment="1">
      <alignment horizontal="center" vertical="center"/>
    </xf>
    <xf numFmtId="0" fontId="11" fillId="0" borderId="46" xfId="1" applyNumberFormat="1" applyFont="1" applyBorder="1" applyAlignment="1">
      <alignment horizontal="center" vertical="center"/>
    </xf>
    <xf numFmtId="49" fontId="3" fillId="0" borderId="26" xfId="1" applyNumberFormat="1" applyFont="1" applyBorder="1" applyAlignment="1">
      <alignment horizontal="center" vertical="center"/>
    </xf>
    <xf numFmtId="49" fontId="3" fillId="0" borderId="33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37" xfId="1" applyNumberFormat="1" applyFont="1" applyBorder="1" applyAlignment="1">
      <alignment horizontal="center" vertical="center"/>
    </xf>
    <xf numFmtId="0" fontId="3" fillId="0" borderId="38" xfId="1" quotePrefix="1" applyNumberFormat="1" applyFont="1" applyFill="1" applyBorder="1" applyAlignment="1">
      <alignment horizontal="center" vertical="center"/>
    </xf>
    <xf numFmtId="0" fontId="3" fillId="0" borderId="34" xfId="1" applyNumberFormat="1" applyFont="1" applyFill="1" applyBorder="1" applyAlignment="1">
      <alignment horizontal="center" vertical="center"/>
    </xf>
    <xf numFmtId="0" fontId="3" fillId="0" borderId="34" xfId="1" quotePrefix="1" applyNumberFormat="1" applyFont="1" applyBorder="1" applyAlignment="1">
      <alignment horizontal="center" vertical="center"/>
    </xf>
    <xf numFmtId="0" fontId="3" fillId="0" borderId="34" xfId="1" applyNumberFormat="1" applyFont="1" applyBorder="1" applyAlignment="1">
      <alignment horizontal="center" vertical="center"/>
    </xf>
    <xf numFmtId="0" fontId="3" fillId="0" borderId="35" xfId="1" applyNumberFormat="1" applyFont="1" applyBorder="1" applyAlignment="1">
      <alignment horizontal="center" vertical="center"/>
    </xf>
    <xf numFmtId="0" fontId="3" fillId="0" borderId="36" xfId="1" applyNumberFormat="1" applyFont="1" applyBorder="1" applyAlignment="1">
      <alignment horizontal="left" vertical="center" wrapText="1"/>
    </xf>
    <xf numFmtId="0" fontId="3" fillId="0" borderId="34" xfId="1" applyNumberFormat="1" applyFont="1" applyBorder="1" applyAlignment="1">
      <alignment horizontal="left" vertical="center" wrapText="1"/>
    </xf>
    <xf numFmtId="0" fontId="3" fillId="0" borderId="37" xfId="1" applyNumberFormat="1" applyFont="1" applyBorder="1" applyAlignment="1">
      <alignment horizontal="center" vertical="center"/>
    </xf>
    <xf numFmtId="0" fontId="3" fillId="0" borderId="38" xfId="1" quotePrefix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left" vertical="center" wrapText="1"/>
    </xf>
    <xf numFmtId="49" fontId="3" fillId="0" borderId="25" xfId="1" applyNumberFormat="1" applyFont="1" applyBorder="1" applyAlignment="1">
      <alignment horizontal="left" vertical="center" wrapText="1"/>
    </xf>
    <xf numFmtId="0" fontId="3" fillId="0" borderId="25" xfId="1" applyNumberFormat="1" applyFont="1" applyBorder="1" applyAlignment="1">
      <alignment horizontal="center" vertical="center"/>
    </xf>
    <xf numFmtId="0" fontId="3" fillId="0" borderId="31" xfId="1" applyNumberFormat="1" applyFont="1" applyBorder="1" applyAlignment="1">
      <alignment horizontal="center" vertical="center"/>
    </xf>
    <xf numFmtId="0" fontId="2" fillId="0" borderId="58" xfId="1" applyNumberFormat="1" applyFont="1" applyBorder="1" applyAlignment="1">
      <alignment horizontal="center"/>
    </xf>
    <xf numFmtId="0" fontId="2" fillId="0" borderId="2" xfId="1" applyNumberFormat="1" applyFont="1" applyBorder="1" applyAlignment="1">
      <alignment horizontal="center"/>
    </xf>
    <xf numFmtId="0" fontId="2" fillId="0" borderId="59" xfId="1" applyNumberFormat="1" applyFont="1" applyBorder="1" applyAlignment="1">
      <alignment horizontal="center"/>
    </xf>
    <xf numFmtId="0" fontId="2" fillId="0" borderId="60" xfId="1" applyNumberFormat="1" applyFont="1" applyBorder="1" applyAlignment="1">
      <alignment horizontal="center"/>
    </xf>
    <xf numFmtId="0" fontId="2" fillId="0" borderId="61" xfId="1" applyNumberFormat="1" applyFont="1" applyBorder="1" applyAlignment="1">
      <alignment horizontal="center"/>
    </xf>
    <xf numFmtId="0" fontId="2" fillId="0" borderId="62" xfId="1" applyNumberFormat="1" applyFont="1" applyBorder="1" applyAlignment="1">
      <alignment horizontal="center"/>
    </xf>
    <xf numFmtId="0" fontId="10" fillId="0" borderId="47" xfId="1" applyFont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 wrapText="1"/>
    </xf>
    <xf numFmtId="0" fontId="10" fillId="0" borderId="3" xfId="1" applyFont="1" applyBorder="1" applyAlignment="1">
      <alignment horizontal="center" vertical="center" wrapText="1"/>
    </xf>
    <xf numFmtId="0" fontId="10" fillId="0" borderId="43" xfId="1" applyFont="1" applyBorder="1" applyAlignment="1">
      <alignment horizontal="center" vertical="center" wrapText="1"/>
    </xf>
    <xf numFmtId="0" fontId="10" fillId="0" borderId="7" xfId="1" applyFont="1" applyBorder="1" applyAlignment="1">
      <alignment horizontal="center" vertical="center" wrapText="1"/>
    </xf>
    <xf numFmtId="0" fontId="10" fillId="0" borderId="44" xfId="1" applyFont="1" applyBorder="1" applyAlignment="1">
      <alignment horizontal="center" vertical="center" wrapText="1"/>
    </xf>
    <xf numFmtId="0" fontId="11" fillId="0" borderId="1" xfId="1" applyNumberFormat="1" applyFont="1" applyBorder="1" applyAlignment="1">
      <alignment horizontal="center" vertical="center"/>
    </xf>
    <xf numFmtId="0" fontId="11" fillId="0" borderId="2" xfId="1" applyNumberFormat="1" applyFont="1" applyBorder="1" applyAlignment="1">
      <alignment horizontal="center" vertical="center"/>
    </xf>
    <xf numFmtId="0" fontId="11" fillId="0" borderId="48" xfId="1" applyNumberFormat="1" applyFont="1" applyBorder="1" applyAlignment="1">
      <alignment horizontal="center" vertical="center"/>
    </xf>
    <xf numFmtId="0" fontId="11" fillId="0" borderId="45" xfId="1" applyNumberFormat="1" applyFont="1" applyBorder="1" applyAlignment="1">
      <alignment horizontal="center" vertical="center"/>
    </xf>
    <xf numFmtId="0" fontId="3" fillId="0" borderId="7" xfId="1" applyFont="1" applyFill="1" applyBorder="1" applyAlignment="1">
      <alignment horizontal="center"/>
    </xf>
    <xf numFmtId="0" fontId="3" fillId="0" borderId="7" xfId="1" applyFont="1" applyFill="1" applyBorder="1" applyAlignment="1">
      <alignment horizontal="center" vertical="center"/>
    </xf>
    <xf numFmtId="0" fontId="2" fillId="0" borderId="0" xfId="1" applyFont="1" applyBorder="1" applyAlignment="1">
      <alignment horizontal="center"/>
    </xf>
    <xf numFmtId="0" fontId="10" fillId="0" borderId="52" xfId="1" applyFont="1" applyBorder="1" applyAlignment="1">
      <alignment horizontal="center" vertical="center" wrapText="1"/>
    </xf>
    <xf numFmtId="0" fontId="10" fillId="0" borderId="0" xfId="1" applyFont="1" applyBorder="1" applyAlignment="1">
      <alignment horizontal="center" vertical="center" wrapText="1"/>
    </xf>
    <xf numFmtId="0" fontId="10" fillId="0" borderId="53" xfId="1" applyFont="1" applyBorder="1" applyAlignment="1">
      <alignment horizontal="center" vertical="center" wrapText="1"/>
    </xf>
    <xf numFmtId="0" fontId="11" fillId="0" borderId="1" xfId="1" quotePrefix="1" applyNumberFormat="1" applyFont="1" applyBorder="1" applyAlignment="1">
      <alignment horizontal="center" vertical="center"/>
    </xf>
    <xf numFmtId="0" fontId="11" fillId="0" borderId="54" xfId="1" applyNumberFormat="1" applyFont="1" applyBorder="1" applyAlignment="1">
      <alignment horizontal="center" vertical="center"/>
    </xf>
    <xf numFmtId="0" fontId="11" fillId="0" borderId="0" xfId="1" applyNumberFormat="1" applyFont="1" applyBorder="1" applyAlignment="1">
      <alignment horizontal="center" vertical="center"/>
    </xf>
    <xf numFmtId="0" fontId="11" fillId="0" borderId="55" xfId="1" applyNumberFormat="1" applyFont="1" applyBorder="1" applyAlignment="1">
      <alignment horizontal="center" vertical="center"/>
    </xf>
    <xf numFmtId="0" fontId="2" fillId="0" borderId="49" xfId="1" applyNumberFormat="1" applyFont="1" applyBorder="1" applyAlignment="1">
      <alignment horizontal="center"/>
    </xf>
    <xf numFmtId="0" fontId="2" fillId="0" borderId="50" xfId="1" applyNumberFormat="1" applyFont="1" applyBorder="1" applyAlignment="1">
      <alignment horizontal="center"/>
    </xf>
    <xf numFmtId="0" fontId="2" fillId="0" borderId="51" xfId="1" applyNumberFormat="1" applyFont="1" applyBorder="1" applyAlignment="1">
      <alignment horizontal="center"/>
    </xf>
    <xf numFmtId="0" fontId="2" fillId="0" borderId="56" xfId="1" applyNumberFormat="1" applyFont="1" applyBorder="1" applyAlignment="1">
      <alignment horizontal="center"/>
    </xf>
    <xf numFmtId="0" fontId="2" fillId="0" borderId="7" xfId="1" applyNumberFormat="1" applyFont="1" applyBorder="1" applyAlignment="1">
      <alignment horizontal="center"/>
    </xf>
    <xf numFmtId="0" fontId="2" fillId="0" borderId="57" xfId="1" applyNumberFormat="1" applyFont="1" applyBorder="1" applyAlignment="1">
      <alignment horizontal="center"/>
    </xf>
    <xf numFmtId="0" fontId="3" fillId="0" borderId="7" xfId="1" applyFont="1" applyBorder="1" applyAlignment="1">
      <alignment horizontal="center"/>
    </xf>
    <xf numFmtId="0" fontId="3" fillId="0" borderId="7" xfId="1" applyFont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9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8" fillId="0" borderId="0" xfId="1" applyFont="1" applyBorder="1" applyAlignment="1">
      <alignment horizontal="center" vertical="top"/>
    </xf>
    <xf numFmtId="0" fontId="10" fillId="0" borderId="63" xfId="1" applyFont="1" applyBorder="1" applyAlignment="1">
      <alignment horizontal="center" vertical="center" wrapText="1"/>
    </xf>
    <xf numFmtId="0" fontId="10" fillId="0" borderId="64" xfId="1" applyFont="1" applyBorder="1" applyAlignment="1">
      <alignment horizontal="center" vertical="center" wrapText="1"/>
    </xf>
    <xf numFmtId="0" fontId="10" fillId="0" borderId="36" xfId="1" applyFont="1" applyBorder="1" applyAlignment="1">
      <alignment horizontal="center" vertical="center" wrapText="1"/>
    </xf>
    <xf numFmtId="0" fontId="11" fillId="0" borderId="37" xfId="1" quotePrefix="1" applyNumberFormat="1" applyFont="1" applyBorder="1" applyAlignment="1">
      <alignment horizontal="center" vertical="center"/>
    </xf>
    <xf numFmtId="0" fontId="11" fillId="0" borderId="64" xfId="1" applyNumberFormat="1" applyFont="1" applyBorder="1" applyAlignment="1">
      <alignment horizontal="center" vertical="center"/>
    </xf>
    <xf numFmtId="0" fontId="11" fillId="0" borderId="65" xfId="1" applyNumberFormat="1" applyFont="1" applyBorder="1" applyAlignment="1">
      <alignment horizontal="center" vertical="center"/>
    </xf>
    <xf numFmtId="0" fontId="2" fillId="0" borderId="7" xfId="1" applyFont="1" applyBorder="1" applyAlignment="1">
      <alignment horizontal="center"/>
    </xf>
    <xf numFmtId="0" fontId="12" fillId="0" borderId="0" xfId="1" applyFont="1"/>
    <xf numFmtId="0" fontId="8" fillId="0" borderId="0" xfId="1" applyFont="1" applyBorder="1" applyAlignment="1">
      <alignment horizontal="center"/>
    </xf>
    <xf numFmtId="0" fontId="11" fillId="2" borderId="7" xfId="1" applyFont="1" applyFill="1" applyBorder="1" applyAlignment="1">
      <alignment horizontal="center"/>
    </xf>
    <xf numFmtId="0" fontId="11" fillId="0" borderId="7" xfId="1" applyFont="1" applyBorder="1" applyAlignment="1">
      <alignment horizontal="center"/>
    </xf>
    <xf numFmtId="0" fontId="3" fillId="2" borderId="7" xfId="1" applyFont="1" applyFill="1" applyBorder="1" applyAlignment="1">
      <alignment horizontal="center" vertical="top"/>
    </xf>
    <xf numFmtId="0" fontId="3" fillId="0" borderId="0" xfId="1" applyFont="1"/>
    <xf numFmtId="0" fontId="3" fillId="0" borderId="2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7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7" xfId="1" applyFont="1" applyFill="1" applyBorder="1" applyAlignment="1">
      <alignment horizontal="left"/>
    </xf>
    <xf numFmtId="0" fontId="3" fillId="0" borderId="0" xfId="1" applyFont="1" applyBorder="1"/>
    <xf numFmtId="0" fontId="11" fillId="0" borderId="7" xfId="1" applyFont="1" applyBorder="1" applyAlignment="1">
      <alignment horizontal="left" wrapText="1"/>
    </xf>
    <xf numFmtId="0" fontId="11" fillId="0" borderId="0" xfId="1" applyFont="1"/>
    <xf numFmtId="49" fontId="11" fillId="0" borderId="0" xfId="1" applyNumberFormat="1" applyFont="1" applyBorder="1" applyAlignment="1">
      <alignment horizontal="center"/>
    </xf>
    <xf numFmtId="1" fontId="3" fillId="0" borderId="66" xfId="1" applyNumberFormat="1" applyFont="1" applyFill="1" applyBorder="1" applyAlignment="1">
      <alignment horizontal="center" vertical="center"/>
    </xf>
    <xf numFmtId="0" fontId="3" fillId="0" borderId="67" xfId="1" applyNumberFormat="1" applyFont="1" applyFill="1" applyBorder="1" applyAlignment="1">
      <alignment horizontal="center" vertical="center"/>
    </xf>
    <xf numFmtId="0" fontId="3" fillId="0" borderId="68" xfId="1" applyNumberFormat="1" applyFont="1" applyFill="1" applyBorder="1" applyAlignment="1">
      <alignment horizontal="center" vertical="center"/>
    </xf>
    <xf numFmtId="0" fontId="3" fillId="0" borderId="13" xfId="1" applyNumberFormat="1" applyFont="1" applyFill="1" applyBorder="1" applyAlignment="1">
      <alignment horizontal="center" vertical="center"/>
    </xf>
    <xf numFmtId="0" fontId="3" fillId="0" borderId="7" xfId="1" applyNumberFormat="1" applyFont="1" applyFill="1" applyBorder="1" applyAlignment="1">
      <alignment horizontal="center" vertical="center"/>
    </xf>
    <xf numFmtId="0" fontId="3" fillId="0" borderId="14" xfId="1" applyNumberFormat="1" applyFont="1" applyFill="1" applyBorder="1" applyAlignment="1">
      <alignment horizontal="center" vertical="center"/>
    </xf>
    <xf numFmtId="164" fontId="11" fillId="0" borderId="0" xfId="1" applyNumberFormat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11" fillId="0" borderId="0" xfId="1" applyFont="1" applyAlignment="1"/>
    <xf numFmtId="49" fontId="10" fillId="0" borderId="0" xfId="1" applyNumberFormat="1" applyFont="1" applyBorder="1" applyAlignment="1">
      <alignment wrapText="1"/>
    </xf>
    <xf numFmtId="0" fontId="3" fillId="0" borderId="0" xfId="1" applyNumberFormat="1" applyFont="1" applyFill="1" applyBorder="1" applyAlignment="1">
      <alignment horizontal="center"/>
    </xf>
    <xf numFmtId="0" fontId="3" fillId="0" borderId="7" xfId="1" applyNumberFormat="1" applyFont="1" applyFill="1" applyBorder="1" applyAlignment="1">
      <alignment horizontal="center"/>
    </xf>
    <xf numFmtId="0" fontId="11" fillId="0" borderId="0" xfId="1" applyNumberFormat="1" applyFont="1" applyFill="1" applyBorder="1" applyAlignment="1">
      <alignment horizontal="center"/>
    </xf>
    <xf numFmtId="0" fontId="11" fillId="0" borderId="7" xfId="1" applyNumberFormat="1" applyFont="1" applyFill="1" applyBorder="1" applyAlignment="1">
      <alignment horizontal="center"/>
    </xf>
    <xf numFmtId="0" fontId="11" fillId="0" borderId="0" xfId="1" applyFont="1" applyAlignment="1">
      <alignment horizontal="right"/>
    </xf>
    <xf numFmtId="49" fontId="11" fillId="0" borderId="11" xfId="1" applyNumberFormat="1" applyFont="1" applyFill="1" applyBorder="1" applyAlignment="1">
      <alignment horizontal="right" vertical="top"/>
    </xf>
    <xf numFmtId="49" fontId="11" fillId="0" borderId="2" xfId="1" applyNumberFormat="1" applyFont="1" applyFill="1" applyBorder="1" applyAlignment="1">
      <alignment horizontal="right" vertical="top"/>
    </xf>
    <xf numFmtId="49" fontId="11" fillId="0" borderId="12" xfId="1" applyNumberFormat="1" applyFont="1" applyFill="1" applyBorder="1" applyAlignment="1">
      <alignment horizontal="right" vertical="top"/>
    </xf>
    <xf numFmtId="49" fontId="11" fillId="0" borderId="13" xfId="1" applyNumberFormat="1" applyFont="1" applyFill="1" applyBorder="1" applyAlignment="1">
      <alignment horizontal="right" vertical="top"/>
    </xf>
    <xf numFmtId="49" fontId="11" fillId="0" borderId="7" xfId="1" applyNumberFormat="1" applyFont="1" applyFill="1" applyBorder="1" applyAlignment="1">
      <alignment horizontal="right" vertical="top"/>
    </xf>
    <xf numFmtId="49" fontId="11" fillId="0" borderId="14" xfId="1" applyNumberFormat="1" applyFont="1" applyFill="1" applyBorder="1" applyAlignment="1">
      <alignment horizontal="right" vertical="top"/>
    </xf>
    <xf numFmtId="0" fontId="11" fillId="0" borderId="0" xfId="1" applyFont="1" applyAlignment="1">
      <alignment horizontal="right" vertical="top" wrapText="1"/>
    </xf>
    <xf numFmtId="0" fontId="13" fillId="0" borderId="2" xfId="1" applyFont="1" applyBorder="1" applyAlignment="1">
      <alignment horizontal="center" vertical="top"/>
    </xf>
    <xf numFmtId="0" fontId="13" fillId="0" borderId="0" xfId="1" applyFont="1" applyBorder="1" applyAlignment="1">
      <alignment horizontal="center" vertical="top"/>
    </xf>
    <xf numFmtId="49" fontId="11" fillId="0" borderId="69" xfId="1" applyNumberFormat="1" applyFont="1" applyBorder="1" applyAlignment="1">
      <alignment horizontal="center"/>
    </xf>
    <xf numFmtId="49" fontId="11" fillId="0" borderId="15" xfId="1" applyNumberFormat="1" applyFont="1" applyBorder="1" applyAlignment="1">
      <alignment horizontal="center"/>
    </xf>
    <xf numFmtId="49" fontId="11" fillId="0" borderId="13" xfId="1" applyNumberFormat="1" applyFont="1" applyBorder="1" applyAlignment="1">
      <alignment horizontal="center"/>
    </xf>
    <xf numFmtId="49" fontId="11" fillId="0" borderId="7" xfId="1" applyNumberFormat="1" applyFont="1" applyBorder="1" applyAlignment="1">
      <alignment horizontal="center"/>
    </xf>
    <xf numFmtId="49" fontId="11" fillId="0" borderId="14" xfId="1" applyNumberFormat="1" applyFont="1" applyBorder="1" applyAlignment="1">
      <alignment horizontal="center"/>
    </xf>
    <xf numFmtId="0" fontId="3" fillId="0" borderId="0" xfId="1" applyFont="1" applyFill="1" applyAlignment="1">
      <alignment horizontal="center"/>
    </xf>
    <xf numFmtId="49" fontId="11" fillId="0" borderId="11" xfId="1" applyNumberFormat="1" applyFont="1" applyBorder="1" applyAlignment="1">
      <alignment horizontal="center" vertical="center"/>
    </xf>
    <xf numFmtId="49" fontId="11" fillId="0" borderId="2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49" fontId="11" fillId="0" borderId="17" xfId="1" applyNumberFormat="1" applyFont="1" applyBorder="1" applyAlignment="1">
      <alignment horizontal="center" vertical="center"/>
    </xf>
    <xf numFmtId="49" fontId="11" fillId="0" borderId="18" xfId="1" applyNumberFormat="1" applyFont="1" applyBorder="1" applyAlignment="1">
      <alignment horizontal="center" vertical="center"/>
    </xf>
    <xf numFmtId="49" fontId="11" fillId="0" borderId="7" xfId="1" applyNumberFormat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49" fontId="11" fillId="0" borderId="69" xfId="1" applyNumberFormat="1" applyFont="1" applyBorder="1" applyAlignment="1">
      <alignment horizontal="center" vertical="center"/>
    </xf>
    <xf numFmtId="49" fontId="11" fillId="0" borderId="0" xfId="1" applyNumberFormat="1" applyFont="1" applyBorder="1" applyAlignment="1">
      <alignment horizontal="center" vertical="center"/>
    </xf>
    <xf numFmtId="49" fontId="11" fillId="0" borderId="15" xfId="1" applyNumberFormat="1" applyFont="1" applyBorder="1" applyAlignment="1">
      <alignment horizontal="center" vertical="center"/>
    </xf>
    <xf numFmtId="49" fontId="11" fillId="0" borderId="13" xfId="1" applyNumberFormat="1" applyFont="1" applyBorder="1" applyAlignment="1">
      <alignment horizontal="center" vertical="center"/>
    </xf>
    <xf numFmtId="49" fontId="11" fillId="0" borderId="14" xfId="1" applyNumberFormat="1" applyFont="1" applyBorder="1" applyAlignment="1">
      <alignment horizontal="center" vertical="center"/>
    </xf>
    <xf numFmtId="0" fontId="11" fillId="0" borderId="0" xfId="1" applyFont="1" applyAlignment="1">
      <alignment vertical="top"/>
    </xf>
    <xf numFmtId="0" fontId="11" fillId="0" borderId="19" xfId="1" applyFont="1" applyBorder="1" applyAlignment="1"/>
    <xf numFmtId="0" fontId="10" fillId="0" borderId="20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5" fillId="0" borderId="70" xfId="1" applyFont="1" applyBorder="1" applyAlignment="1">
      <alignment horizontal="center" vertical="center"/>
    </xf>
    <xf numFmtId="0" fontId="16" fillId="0" borderId="25" xfId="1" applyFont="1" applyBorder="1"/>
    <xf numFmtId="0" fontId="15" fillId="0" borderId="25" xfId="1" applyFont="1" applyBorder="1" applyAlignment="1">
      <alignment horizontal="center" vertical="center"/>
    </xf>
    <xf numFmtId="0" fontId="15" fillId="0" borderId="24" xfId="1" applyFont="1" applyBorder="1" applyAlignment="1">
      <alignment horizontal="center" vertical="center"/>
    </xf>
    <xf numFmtId="0" fontId="15" fillId="0" borderId="71" xfId="1" applyFont="1" applyBorder="1" applyAlignment="1">
      <alignment horizontal="center" vertical="center"/>
    </xf>
    <xf numFmtId="0" fontId="3" fillId="0" borderId="79" xfId="1" applyNumberFormat="1" applyFont="1" applyBorder="1" applyAlignment="1">
      <alignment horizontal="center" vertical="center"/>
    </xf>
    <xf numFmtId="0" fontId="3" fillId="0" borderId="75" xfId="1" applyNumberFormat="1" applyFont="1" applyBorder="1" applyAlignment="1">
      <alignment horizontal="center" vertical="center"/>
    </xf>
    <xf numFmtId="0" fontId="3" fillId="0" borderId="76" xfId="1" applyNumberFormat="1" applyFont="1" applyBorder="1" applyAlignment="1">
      <alignment horizontal="center" vertical="center"/>
    </xf>
    <xf numFmtId="49" fontId="3" fillId="0" borderId="80" xfId="1" applyNumberFormat="1" applyFont="1" applyBorder="1" applyAlignment="1">
      <alignment horizontal="center" vertical="center" wrapText="1"/>
    </xf>
    <xf numFmtId="49" fontId="3" fillId="0" borderId="19" xfId="1" applyNumberFormat="1" applyFont="1" applyBorder="1" applyAlignment="1">
      <alignment horizontal="center" vertical="center" wrapText="1"/>
    </xf>
    <xf numFmtId="0" fontId="3" fillId="0" borderId="19" xfId="1" applyNumberFormat="1" applyFont="1" applyBorder="1" applyAlignment="1">
      <alignment horizontal="left" vertical="center" wrapText="1"/>
    </xf>
    <xf numFmtId="0" fontId="3" fillId="0" borderId="81" xfId="1" applyNumberFormat="1" applyFont="1" applyBorder="1" applyAlignment="1">
      <alignment horizontal="left" vertical="center" wrapText="1"/>
    </xf>
    <xf numFmtId="49" fontId="3" fillId="0" borderId="82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49" fontId="3" fillId="0" borderId="81" xfId="1" applyNumberFormat="1" applyFont="1" applyBorder="1" applyAlignment="1">
      <alignment horizontal="center" vertical="center"/>
    </xf>
    <xf numFmtId="49" fontId="3" fillId="0" borderId="83" xfId="1" applyNumberFormat="1" applyFont="1" applyBorder="1" applyAlignment="1">
      <alignment horizontal="center" vertical="center"/>
    </xf>
    <xf numFmtId="0" fontId="3" fillId="0" borderId="60" xfId="1" applyNumberFormat="1" applyFont="1" applyBorder="1" applyAlignment="1">
      <alignment horizontal="center" vertical="center"/>
    </xf>
    <xf numFmtId="0" fontId="3" fillId="0" borderId="61" xfId="1" applyNumberFormat="1" applyFont="1" applyBorder="1" applyAlignment="1">
      <alignment horizontal="center" vertical="center"/>
    </xf>
    <xf numFmtId="0" fontId="3" fillId="0" borderId="62" xfId="1" applyNumberFormat="1" applyFont="1" applyBorder="1" applyAlignment="1">
      <alignment horizontal="center" vertical="center"/>
    </xf>
    <xf numFmtId="49" fontId="3" fillId="0" borderId="84" xfId="1" applyNumberFormat="1" applyFont="1" applyBorder="1" applyAlignment="1">
      <alignment horizontal="center" vertical="center" wrapText="1"/>
    </xf>
    <xf numFmtId="49" fontId="3" fillId="0" borderId="83" xfId="1" applyNumberFormat="1" applyFont="1" applyBorder="1" applyAlignment="1">
      <alignment horizontal="center" vertical="center" wrapText="1"/>
    </xf>
    <xf numFmtId="49" fontId="3" fillId="0" borderId="56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44" xfId="1" applyNumberFormat="1" applyFont="1" applyBorder="1" applyAlignment="1">
      <alignment horizontal="center" vertical="center"/>
    </xf>
    <xf numFmtId="49" fontId="3" fillId="0" borderId="85" xfId="1" applyNumberFormat="1" applyFont="1" applyBorder="1" applyAlignment="1">
      <alignment horizontal="center" vertical="center"/>
    </xf>
    <xf numFmtId="49" fontId="3" fillId="0" borderId="61" xfId="1" applyNumberFormat="1" applyFont="1" applyBorder="1" applyAlignment="1">
      <alignment horizontal="center" vertical="center"/>
    </xf>
    <xf numFmtId="49" fontId="3" fillId="0" borderId="86" xfId="1" applyNumberFormat="1" applyFont="1" applyBorder="1" applyAlignment="1">
      <alignment horizontal="center" vertical="center"/>
    </xf>
    <xf numFmtId="49" fontId="3" fillId="0" borderId="72" xfId="1" applyNumberFormat="1" applyFont="1" applyBorder="1" applyAlignment="1">
      <alignment horizontal="center" vertical="center" wrapText="1"/>
    </xf>
    <xf numFmtId="49" fontId="3" fillId="0" borderId="9" xfId="1" applyNumberFormat="1" applyFont="1" applyBorder="1" applyAlignment="1">
      <alignment horizontal="center" vertical="center" wrapText="1"/>
    </xf>
    <xf numFmtId="49" fontId="3" fillId="0" borderId="9" xfId="1" applyNumberFormat="1" applyFont="1" applyBorder="1" applyAlignment="1">
      <alignment horizontal="left" vertical="center" wrapText="1"/>
    </xf>
    <xf numFmtId="49" fontId="3" fillId="0" borderId="9" xfId="1" applyNumberFormat="1" applyFont="1" applyBorder="1" applyAlignment="1">
      <alignment horizontal="center" vertical="center"/>
    </xf>
    <xf numFmtId="49" fontId="3" fillId="0" borderId="73" xfId="1" applyNumberFormat="1" applyFont="1" applyBorder="1" applyAlignment="1">
      <alignment horizontal="center" vertical="center"/>
    </xf>
    <xf numFmtId="0" fontId="3" fillId="0" borderId="74" xfId="1" applyNumberFormat="1" applyFont="1" applyBorder="1" applyAlignment="1">
      <alignment horizontal="center" vertical="center"/>
    </xf>
    <xf numFmtId="49" fontId="3" fillId="0" borderId="77" xfId="1" applyNumberFormat="1" applyFont="1" applyBorder="1" applyAlignment="1">
      <alignment horizontal="center" vertical="center" wrapText="1"/>
    </xf>
    <xf numFmtId="49" fontId="3" fillId="0" borderId="73" xfId="1" applyNumberFormat="1" applyFont="1" applyBorder="1" applyAlignment="1">
      <alignment horizontal="center" vertical="center" wrapText="1"/>
    </xf>
    <xf numFmtId="49" fontId="3" fillId="0" borderId="74" xfId="1" applyNumberFormat="1" applyFont="1" applyBorder="1" applyAlignment="1">
      <alignment horizontal="center" vertical="center"/>
    </xf>
    <xf numFmtId="49" fontId="3" fillId="0" borderId="75" xfId="1" applyNumberFormat="1" applyFont="1" applyBorder="1" applyAlignment="1">
      <alignment horizontal="center" vertical="center"/>
    </xf>
    <xf numFmtId="49" fontId="3" fillId="0" borderId="78" xfId="1" applyNumberFormat="1" applyFont="1" applyBorder="1" applyAlignment="1">
      <alignment horizontal="center" vertical="center"/>
    </xf>
    <xf numFmtId="49" fontId="3" fillId="0" borderId="79" xfId="1" applyNumberFormat="1" applyFont="1" applyBorder="1" applyAlignment="1">
      <alignment horizontal="center" vertical="center"/>
    </xf>
    <xf numFmtId="0" fontId="11" fillId="0" borderId="7" xfId="1" applyFont="1" applyBorder="1" applyAlignment="1">
      <alignment horizontal="left"/>
    </xf>
    <xf numFmtId="0" fontId="3" fillId="0" borderId="45" xfId="1" applyNumberFormat="1" applyFont="1" applyBorder="1" applyAlignment="1">
      <alignment horizontal="center" vertical="center"/>
    </xf>
    <xf numFmtId="0" fontId="3" fillId="0" borderId="7" xfId="1" applyNumberFormat="1" applyFont="1" applyBorder="1" applyAlignment="1">
      <alignment horizontal="center" vertical="center"/>
    </xf>
    <xf numFmtId="0" fontId="3" fillId="0" borderId="57" xfId="1" applyNumberFormat="1" applyFont="1" applyBorder="1" applyAlignment="1">
      <alignment horizontal="center" vertical="center"/>
    </xf>
    <xf numFmtId="0" fontId="11" fillId="0" borderId="87" xfId="1" applyFont="1" applyFill="1" applyBorder="1" applyAlignment="1">
      <alignment horizontal="center"/>
    </xf>
    <xf numFmtId="0" fontId="11" fillId="0" borderId="7" xfId="1" applyFont="1" applyFill="1" applyBorder="1" applyAlignment="1">
      <alignment horizontal="center"/>
    </xf>
    <xf numFmtId="0" fontId="11" fillId="0" borderId="77" xfId="1" applyNumberFormat="1" applyFont="1" applyBorder="1" applyAlignment="1">
      <alignment horizontal="center" vertical="center"/>
    </xf>
    <xf numFmtId="0" fontId="11" fillId="0" borderId="9" xfId="1" applyNumberFormat="1" applyFont="1" applyBorder="1" applyAlignment="1">
      <alignment horizontal="center" vertical="center"/>
    </xf>
    <xf numFmtId="0" fontId="11" fillId="0" borderId="73" xfId="1" applyNumberFormat="1" applyFont="1" applyBorder="1" applyAlignment="1">
      <alignment horizontal="center" vertical="center"/>
    </xf>
    <xf numFmtId="0" fontId="11" fillId="0" borderId="88" xfId="1" applyNumberFormat="1" applyFont="1" applyBorder="1" applyAlignment="1">
      <alignment horizontal="center" vertical="center"/>
    </xf>
    <xf numFmtId="0" fontId="11" fillId="0" borderId="89" xfId="1" applyNumberFormat="1" applyFont="1" applyBorder="1" applyAlignment="1">
      <alignment horizontal="center" vertical="center"/>
    </xf>
    <xf numFmtId="0" fontId="11" fillId="0" borderId="90" xfId="1" applyNumberFormat="1" applyFont="1" applyBorder="1" applyAlignment="1">
      <alignment horizontal="center" vertical="center"/>
    </xf>
    <xf numFmtId="0" fontId="11" fillId="0" borderId="0" xfId="1" applyFont="1" applyBorder="1" applyAlignment="1">
      <alignment horizontal="center" vertical="center"/>
    </xf>
    <xf numFmtId="0" fontId="2" fillId="0" borderId="77" xfId="1" applyNumberFormat="1" applyFont="1" applyBorder="1" applyAlignment="1">
      <alignment horizontal="center" vertical="center"/>
    </xf>
    <xf numFmtId="0" fontId="2" fillId="0" borderId="9" xfId="1" applyNumberFormat="1" applyFont="1" applyBorder="1" applyAlignment="1">
      <alignment horizontal="center" vertical="center"/>
    </xf>
    <xf numFmtId="0" fontId="2" fillId="0" borderId="73" xfId="1" applyNumberFormat="1" applyFont="1" applyBorder="1" applyAlignment="1">
      <alignment horizontal="center" vertical="center"/>
    </xf>
    <xf numFmtId="0" fontId="2" fillId="0" borderId="88" xfId="1" applyNumberFormat="1" applyFont="1" applyBorder="1" applyAlignment="1">
      <alignment horizontal="center" vertical="center"/>
    </xf>
    <xf numFmtId="0" fontId="2" fillId="0" borderId="89" xfId="1" applyNumberFormat="1" applyFont="1" applyBorder="1" applyAlignment="1">
      <alignment horizontal="center" vertical="center"/>
    </xf>
    <xf numFmtId="0" fontId="2" fillId="0" borderId="90" xfId="1" applyNumberFormat="1" applyFont="1" applyBorder="1" applyAlignment="1">
      <alignment horizontal="center" vertical="center"/>
    </xf>
    <xf numFmtId="0" fontId="11" fillId="0" borderId="0" xfId="1" applyFont="1" applyAlignment="1">
      <alignment horizontal="left"/>
    </xf>
    <xf numFmtId="0" fontId="11" fillId="0" borderId="7" xfId="1" applyFont="1" applyFill="1" applyBorder="1" applyAlignment="1">
      <alignment horizontal="center" vertical="center"/>
    </xf>
    <xf numFmtId="0" fontId="11" fillId="0" borderId="0" xfId="1" applyFont="1" applyBorder="1"/>
    <xf numFmtId="0" fontId="11" fillId="0" borderId="7" xfId="1" applyFont="1" applyBorder="1"/>
    <xf numFmtId="0" fontId="13" fillId="0" borderId="0" xfId="1" applyFont="1" applyBorder="1" applyAlignment="1">
      <alignment horizontal="center"/>
    </xf>
    <xf numFmtId="0" fontId="13" fillId="0" borderId="2" xfId="1" applyFont="1" applyBorder="1" applyAlignment="1">
      <alignment horizontal="center"/>
    </xf>
    <xf numFmtId="0" fontId="11" fillId="0" borderId="54" xfId="1" applyFont="1" applyBorder="1" applyAlignment="1"/>
    <xf numFmtId="0" fontId="11" fillId="0" borderId="0" xfId="1" applyFont="1" applyBorder="1" applyAlignment="1"/>
    <xf numFmtId="0" fontId="13" fillId="0" borderId="0" xfId="1" applyFont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11" fillId="0" borderId="2" xfId="1" applyFont="1" applyBorder="1"/>
    <xf numFmtId="0" fontId="13" fillId="0" borderId="19" xfId="1" applyFont="1" applyBorder="1" applyAlignment="1">
      <alignment horizontal="center" vertical="top"/>
    </xf>
    <xf numFmtId="0" fontId="18" fillId="0" borderId="2" xfId="1" applyFont="1" applyBorder="1" applyAlignment="1">
      <alignment horizontal="center" vertical="top"/>
    </xf>
    <xf numFmtId="0" fontId="8" fillId="0" borderId="0" xfId="1" applyFont="1" applyAlignment="1">
      <alignment horizontal="center" vertical="top" wrapText="1"/>
    </xf>
    <xf numFmtId="0" fontId="11" fillId="0" borderId="43" xfId="1" applyFont="1" applyBorder="1" applyAlignment="1">
      <alignment horizontal="center" vertical="top"/>
    </xf>
    <xf numFmtId="0" fontId="11" fillId="0" borderId="7" xfId="1" applyFont="1" applyBorder="1" applyAlignment="1">
      <alignment horizontal="center" vertical="top"/>
    </xf>
    <xf numFmtId="0" fontId="11" fillId="0" borderId="42" xfId="1" applyFont="1" applyBorder="1" applyAlignment="1">
      <alignment horizontal="center" vertical="top"/>
    </xf>
    <xf numFmtId="0" fontId="11" fillId="0" borderId="91" xfId="1" applyFont="1" applyBorder="1" applyAlignment="1">
      <alignment horizontal="center" vertical="top"/>
    </xf>
    <xf numFmtId="0" fontId="10" fillId="0" borderId="47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43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44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 wrapText="1"/>
    </xf>
    <xf numFmtId="0" fontId="10" fillId="0" borderId="45" xfId="1" applyFont="1" applyBorder="1" applyAlignment="1">
      <alignment horizontal="center" vertical="center" wrapText="1"/>
    </xf>
    <xf numFmtId="0" fontId="10" fillId="0" borderId="31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31" xfId="1" applyFont="1" applyBorder="1" applyAlignment="1">
      <alignment horizontal="center" vertical="center" wrapText="1"/>
    </xf>
    <xf numFmtId="0" fontId="10" fillId="0" borderId="9" xfId="1" applyFont="1" applyBorder="1" applyAlignment="1">
      <alignment horizontal="center" vertical="center" wrapText="1"/>
    </xf>
    <xf numFmtId="0" fontId="10" fillId="0" borderId="30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8" fillId="0" borderId="2" xfId="1" applyFont="1" applyBorder="1" applyAlignment="1">
      <alignment horizontal="center" vertical="center" wrapText="1"/>
    </xf>
    <xf numFmtId="0" fontId="18" fillId="0" borderId="48" xfId="1" applyFont="1" applyBorder="1" applyAlignment="1">
      <alignment horizontal="center" vertical="center" wrapText="1"/>
    </xf>
    <xf numFmtId="0" fontId="18" fillId="0" borderId="45" xfId="1" applyFont="1" applyBorder="1" applyAlignment="1">
      <alignment horizontal="center" vertical="center" wrapText="1"/>
    </xf>
    <xf numFmtId="0" fontId="18" fillId="0" borderId="7" xfId="1" applyFont="1" applyBorder="1" applyAlignment="1">
      <alignment horizontal="center" vertical="center" wrapText="1"/>
    </xf>
    <xf numFmtId="0" fontId="18" fillId="0" borderId="46" xfId="1" applyFont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/>
    </xf>
    <xf numFmtId="0" fontId="15" fillId="0" borderId="2" xfId="1" applyFont="1" applyBorder="1" applyAlignment="1">
      <alignment horizontal="center" vertical="center"/>
    </xf>
    <xf numFmtId="0" fontId="15" fillId="0" borderId="48" xfId="1" applyFont="1" applyBorder="1" applyAlignment="1">
      <alignment horizontal="center" vertical="center"/>
    </xf>
    <xf numFmtId="49" fontId="11" fillId="0" borderId="92" xfId="1" applyNumberFormat="1" applyFont="1" applyBorder="1" applyAlignment="1">
      <alignment horizontal="center" vertical="center"/>
    </xf>
    <xf numFmtId="49" fontId="11" fillId="0" borderId="87" xfId="1" applyNumberFormat="1" applyFont="1" applyBorder="1" applyAlignment="1">
      <alignment horizontal="center" vertical="center"/>
    </xf>
    <xf numFmtId="49" fontId="11" fillId="0" borderId="93" xfId="1" applyNumberFormat="1" applyFont="1" applyBorder="1" applyAlignment="1">
      <alignment horizontal="center" vertical="center"/>
    </xf>
    <xf numFmtId="49" fontId="11" fillId="0" borderId="43" xfId="1" applyNumberFormat="1" applyFont="1" applyBorder="1" applyAlignment="1">
      <alignment horizontal="center" vertical="center"/>
    </xf>
    <xf numFmtId="49" fontId="11" fillId="0" borderId="44" xfId="1" applyNumberFormat="1" applyFont="1" applyBorder="1" applyAlignment="1">
      <alignment horizontal="center" vertical="center"/>
    </xf>
    <xf numFmtId="49" fontId="10" fillId="0" borderId="94" xfId="1" applyNumberFormat="1" applyFont="1" applyBorder="1" applyAlignment="1">
      <alignment horizontal="left" vertical="center" wrapText="1"/>
    </xf>
    <xf numFmtId="49" fontId="10" fillId="0" borderId="87" xfId="1" applyNumberFormat="1" applyFont="1" applyBorder="1" applyAlignment="1">
      <alignment horizontal="left" vertical="center" wrapText="1"/>
    </xf>
    <xf numFmtId="49" fontId="10" fillId="0" borderId="93" xfId="1" applyNumberFormat="1" applyFont="1" applyBorder="1" applyAlignment="1">
      <alignment horizontal="left" vertical="center" wrapText="1"/>
    </xf>
    <xf numFmtId="49" fontId="10" fillId="0" borderId="45" xfId="1" applyNumberFormat="1" applyFont="1" applyBorder="1" applyAlignment="1">
      <alignment horizontal="left" vertical="center" wrapText="1"/>
    </xf>
    <xf numFmtId="49" fontId="10" fillId="0" borderId="7" xfId="1" applyNumberFormat="1" applyFont="1" applyBorder="1" applyAlignment="1">
      <alignment horizontal="left" vertical="center" wrapText="1"/>
    </xf>
    <xf numFmtId="49" fontId="10" fillId="0" borderId="44" xfId="1" applyNumberFormat="1" applyFont="1" applyBorder="1" applyAlignment="1">
      <alignment horizontal="left" vertical="center" wrapText="1"/>
    </xf>
    <xf numFmtId="49" fontId="10" fillId="0" borderId="94" xfId="1" applyNumberFormat="1" applyFont="1" applyBorder="1" applyAlignment="1">
      <alignment horizontal="center" vertical="center" wrapText="1"/>
    </xf>
    <xf numFmtId="49" fontId="10" fillId="0" borderId="87" xfId="1" applyNumberFormat="1" applyFont="1" applyBorder="1" applyAlignment="1">
      <alignment horizontal="center" vertical="center" wrapText="1"/>
    </xf>
    <xf numFmtId="49" fontId="10" fillId="0" borderId="93" xfId="1" applyNumberFormat="1" applyFont="1" applyBorder="1" applyAlignment="1">
      <alignment horizontal="center" vertical="center" wrapText="1"/>
    </xf>
    <xf numFmtId="49" fontId="10" fillId="0" borderId="45" xfId="1" applyNumberFormat="1" applyFont="1" applyBorder="1" applyAlignment="1">
      <alignment horizontal="center" vertical="center" wrapText="1"/>
    </xf>
    <xf numFmtId="49" fontId="10" fillId="0" borderId="7" xfId="1" applyNumberFormat="1" applyFont="1" applyBorder="1" applyAlignment="1">
      <alignment horizontal="center" vertical="center" wrapText="1"/>
    </xf>
    <xf numFmtId="49" fontId="10" fillId="0" borderId="44" xfId="1" applyNumberFormat="1" applyFont="1" applyBorder="1" applyAlignment="1">
      <alignment horizontal="center" vertical="center" wrapText="1"/>
    </xf>
    <xf numFmtId="49" fontId="10" fillId="0" borderId="49" xfId="1" applyNumberFormat="1" applyFont="1" applyBorder="1" applyAlignment="1">
      <alignment horizontal="center"/>
    </xf>
    <xf numFmtId="49" fontId="10" fillId="0" borderId="50" xfId="1" applyNumberFormat="1" applyFont="1" applyBorder="1" applyAlignment="1">
      <alignment horizontal="center"/>
    </xf>
    <xf numFmtId="49" fontId="10" fillId="0" borderId="95" xfId="1" applyNumberFormat="1" applyFont="1" applyBorder="1" applyAlignment="1">
      <alignment horizontal="center"/>
    </xf>
    <xf numFmtId="22" fontId="10" fillId="0" borderId="96" xfId="1" applyNumberFormat="1" applyFont="1" applyFill="1" applyBorder="1" applyAlignment="1">
      <alignment horizontal="center" vertical="center"/>
    </xf>
    <xf numFmtId="0" fontId="10" fillId="0" borderId="50" xfId="1" applyNumberFormat="1" applyFont="1" applyFill="1" applyBorder="1" applyAlignment="1">
      <alignment horizontal="center" vertical="center"/>
    </xf>
    <xf numFmtId="0" fontId="10" fillId="0" borderId="95" xfId="1" applyNumberFormat="1" applyFont="1" applyFill="1" applyBorder="1" applyAlignment="1">
      <alignment horizontal="center" vertical="center"/>
    </xf>
    <xf numFmtId="0" fontId="10" fillId="0" borderId="45" xfId="1" applyNumberFormat="1" applyFont="1" applyFill="1" applyBorder="1" applyAlignment="1">
      <alignment horizontal="center" vertical="center"/>
    </xf>
    <xf numFmtId="0" fontId="10" fillId="0" borderId="7" xfId="1" applyNumberFormat="1" applyFont="1" applyFill="1" applyBorder="1" applyAlignment="1">
      <alignment horizontal="center" vertical="center"/>
    </xf>
    <xf numFmtId="0" fontId="10" fillId="0" borderId="44" xfId="1" applyNumberFormat="1" applyFont="1" applyFill="1" applyBorder="1" applyAlignment="1">
      <alignment horizontal="center" vertical="center"/>
    </xf>
    <xf numFmtId="49" fontId="10" fillId="0" borderId="88" xfId="1" applyNumberFormat="1" applyFont="1" applyBorder="1" applyAlignment="1">
      <alignment horizontal="center"/>
    </xf>
    <xf numFmtId="49" fontId="10" fillId="0" borderId="89" xfId="1" applyNumberFormat="1" applyFont="1" applyBorder="1" applyAlignment="1">
      <alignment horizontal="center"/>
    </xf>
    <xf numFmtId="49" fontId="10" fillId="0" borderId="99" xfId="1" applyNumberFormat="1" applyFont="1" applyBorder="1" applyAlignment="1">
      <alignment horizontal="center"/>
    </xf>
    <xf numFmtId="49" fontId="10" fillId="0" borderId="100" xfId="1" applyNumberFormat="1" applyFont="1" applyFill="1" applyBorder="1" applyAlignment="1">
      <alignment horizontal="center"/>
    </xf>
    <xf numFmtId="49" fontId="10" fillId="0" borderId="89" xfId="1" applyNumberFormat="1" applyFont="1" applyFill="1" applyBorder="1" applyAlignment="1">
      <alignment horizontal="center"/>
    </xf>
    <xf numFmtId="49" fontId="10" fillId="0" borderId="99" xfId="1" applyNumberFormat="1" applyFont="1" applyFill="1" applyBorder="1" applyAlignment="1">
      <alignment horizontal="center"/>
    </xf>
    <xf numFmtId="0" fontId="10" fillId="0" borderId="100" xfId="1" quotePrefix="1" applyNumberFormat="1" applyFont="1" applyBorder="1" applyAlignment="1">
      <alignment horizontal="center" vertical="center"/>
    </xf>
    <xf numFmtId="0" fontId="10" fillId="0" borderId="89" xfId="1" applyNumberFormat="1" applyFont="1" applyBorder="1" applyAlignment="1">
      <alignment horizontal="center" vertical="center"/>
    </xf>
    <xf numFmtId="0" fontId="10" fillId="0" borderId="90" xfId="1" applyNumberFormat="1" applyFont="1" applyBorder="1" applyAlignment="1">
      <alignment horizontal="center" vertical="center"/>
    </xf>
    <xf numFmtId="49" fontId="10" fillId="0" borderId="64" xfId="1" applyNumberFormat="1" applyFont="1" applyFill="1" applyBorder="1" applyAlignment="1">
      <alignment horizontal="center"/>
    </xf>
    <xf numFmtId="49" fontId="10" fillId="0" borderId="65" xfId="1" applyNumberFormat="1" applyFont="1" applyFill="1" applyBorder="1" applyAlignment="1">
      <alignment horizontal="center"/>
    </xf>
    <xf numFmtId="0" fontId="15" fillId="0" borderId="47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11" fillId="0" borderId="101" xfId="1" applyFont="1" applyBorder="1" applyAlignment="1">
      <alignment horizontal="center" vertical="top"/>
    </xf>
    <xf numFmtId="22" fontId="8" fillId="0" borderId="96" xfId="1" applyNumberFormat="1" applyFont="1" applyFill="1" applyBorder="1" applyAlignment="1">
      <alignment horizontal="center" vertical="center"/>
    </xf>
    <xf numFmtId="22" fontId="8" fillId="0" borderId="50" xfId="1" applyNumberFormat="1" applyFont="1" applyFill="1" applyBorder="1" applyAlignment="1">
      <alignment horizontal="center" vertical="center"/>
    </xf>
    <xf numFmtId="22" fontId="8" fillId="0" borderId="95" xfId="1" applyNumberFormat="1" applyFont="1" applyFill="1" applyBorder="1" applyAlignment="1">
      <alignment horizontal="center" vertical="center"/>
    </xf>
    <xf numFmtId="22" fontId="8" fillId="0" borderId="45" xfId="1" applyNumberFormat="1" applyFont="1" applyFill="1" applyBorder="1" applyAlignment="1">
      <alignment horizontal="center" vertical="center"/>
    </xf>
    <xf numFmtId="22" fontId="8" fillId="0" borderId="7" xfId="1" applyNumberFormat="1" applyFont="1" applyFill="1" applyBorder="1" applyAlignment="1">
      <alignment horizontal="center" vertical="center"/>
    </xf>
    <xf numFmtId="22" fontId="8" fillId="0" borderId="44" xfId="1" applyNumberFormat="1" applyFont="1" applyFill="1" applyBorder="1" applyAlignment="1">
      <alignment horizontal="center" vertical="center"/>
    </xf>
    <xf numFmtId="0" fontId="10" fillId="0" borderId="96" xfId="1" quotePrefix="1" applyNumberFormat="1" applyFont="1" applyBorder="1" applyAlignment="1">
      <alignment horizontal="center" vertical="center"/>
    </xf>
    <xf numFmtId="0" fontId="10" fillId="0" borderId="50" xfId="1" quotePrefix="1" applyNumberFormat="1" applyFont="1" applyBorder="1" applyAlignment="1">
      <alignment horizontal="center" vertical="center"/>
    </xf>
    <xf numFmtId="0" fontId="10" fillId="0" borderId="51" xfId="1" quotePrefix="1" applyNumberFormat="1" applyFont="1" applyBorder="1" applyAlignment="1">
      <alignment horizontal="center" vertical="center"/>
    </xf>
    <xf numFmtId="0" fontId="10" fillId="0" borderId="45" xfId="1" quotePrefix="1" applyNumberFormat="1" applyFont="1" applyBorder="1" applyAlignment="1">
      <alignment horizontal="center" vertical="center"/>
    </xf>
    <xf numFmtId="0" fontId="10" fillId="0" borderId="7" xfId="1" quotePrefix="1" applyNumberFormat="1" applyFont="1" applyBorder="1" applyAlignment="1">
      <alignment horizontal="center" vertical="center"/>
    </xf>
    <xf numFmtId="0" fontId="10" fillId="0" borderId="57" xfId="1" quotePrefix="1" applyNumberFormat="1" applyFont="1" applyBorder="1" applyAlignment="1">
      <alignment horizontal="center" vertical="center"/>
    </xf>
    <xf numFmtId="49" fontId="10" fillId="2" borderId="87" xfId="1" applyNumberFormat="1" applyFont="1" applyFill="1" applyBorder="1" applyAlignment="1">
      <alignment horizontal="center"/>
    </xf>
    <xf numFmtId="49" fontId="10" fillId="2" borderId="97" xfId="1" applyNumberFormat="1" applyFont="1" applyFill="1" applyBorder="1" applyAlignment="1">
      <alignment horizontal="center"/>
    </xf>
    <xf numFmtId="49" fontId="10" fillId="0" borderId="98" xfId="1" applyNumberFormat="1" applyFont="1" applyBorder="1" applyAlignment="1">
      <alignment horizontal="center"/>
    </xf>
    <xf numFmtId="49" fontId="10" fillId="0" borderId="0" xfId="1" applyNumberFormat="1" applyFont="1" applyBorder="1" applyAlignment="1">
      <alignment horizontal="center"/>
    </xf>
    <xf numFmtId="49" fontId="10" fillId="0" borderId="53" xfId="1" applyNumberFormat="1" applyFont="1" applyBorder="1" applyAlignment="1">
      <alignment horizontal="center"/>
    </xf>
    <xf numFmtId="49" fontId="10" fillId="2" borderId="0" xfId="1" applyNumberFormat="1" applyFont="1" applyFill="1" applyBorder="1" applyAlignment="1">
      <alignment horizontal="center"/>
    </xf>
    <xf numFmtId="49" fontId="10" fillId="2" borderId="55" xfId="1" applyNumberFormat="1" applyFont="1" applyFill="1" applyBorder="1" applyAlignment="1">
      <alignment horizontal="center"/>
    </xf>
    <xf numFmtId="49" fontId="11" fillId="0" borderId="63" xfId="1" applyNumberFormat="1" applyFont="1" applyBorder="1" applyAlignment="1">
      <alignment horizontal="center" vertical="center"/>
    </xf>
    <xf numFmtId="0" fontId="1" fillId="0" borderId="64" xfId="1" applyBorder="1" applyAlignment="1">
      <alignment horizontal="center" vertical="center"/>
    </xf>
    <xf numFmtId="0" fontId="1" fillId="0" borderId="36" xfId="1" applyBorder="1" applyAlignment="1">
      <alignment horizontal="center" vertical="center"/>
    </xf>
    <xf numFmtId="49" fontId="10" fillId="0" borderId="37" xfId="1" applyNumberFormat="1" applyFont="1" applyBorder="1" applyAlignment="1">
      <alignment horizontal="left" vertical="center" wrapText="1"/>
    </xf>
    <xf numFmtId="49" fontId="10" fillId="0" borderId="64" xfId="1" applyNumberFormat="1" applyFont="1" applyBorder="1" applyAlignment="1">
      <alignment horizontal="left" vertical="center" wrapText="1"/>
    </xf>
    <xf numFmtId="49" fontId="10" fillId="0" borderId="36" xfId="1" applyNumberFormat="1" applyFont="1" applyBorder="1" applyAlignment="1">
      <alignment horizontal="left" vertical="center" wrapText="1"/>
    </xf>
    <xf numFmtId="49" fontId="10" fillId="0" borderId="37" xfId="1" applyNumberFormat="1" applyFont="1" applyBorder="1" applyAlignment="1">
      <alignment horizontal="center" vertical="center" wrapText="1"/>
    </xf>
    <xf numFmtId="49" fontId="10" fillId="0" borderId="64" xfId="1" applyNumberFormat="1" applyFont="1" applyBorder="1" applyAlignment="1">
      <alignment horizontal="center" vertical="center" wrapText="1"/>
    </xf>
    <xf numFmtId="49" fontId="10" fillId="0" borderId="36" xfId="1" applyNumberFormat="1" applyFont="1" applyBorder="1" applyAlignment="1">
      <alignment horizontal="center" vertical="center" wrapText="1"/>
    </xf>
    <xf numFmtId="0" fontId="10" fillId="0" borderId="106" xfId="1" applyNumberFormat="1" applyFont="1" applyBorder="1" applyAlignment="1">
      <alignment horizontal="center"/>
    </xf>
    <xf numFmtId="0" fontId="10" fillId="0" borderId="104" xfId="1" applyNumberFormat="1" applyFont="1" applyBorder="1" applyAlignment="1">
      <alignment horizontal="center"/>
    </xf>
    <xf numFmtId="0" fontId="10" fillId="0" borderId="105" xfId="1" applyNumberFormat="1" applyFont="1" applyBorder="1" applyAlignment="1">
      <alignment horizontal="center"/>
    </xf>
    <xf numFmtId="0" fontId="10" fillId="0" borderId="107" xfId="1" applyNumberFormat="1" applyFont="1" applyBorder="1" applyAlignment="1">
      <alignment horizontal="center"/>
    </xf>
    <xf numFmtId="0" fontId="10" fillId="0" borderId="52" xfId="1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10" fillId="0" borderId="53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/>
    </xf>
    <xf numFmtId="0" fontId="10" fillId="0" borderId="45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 wrapText="1"/>
    </xf>
    <xf numFmtId="0" fontId="10" fillId="0" borderId="72" xfId="1" applyFont="1" applyBorder="1" applyAlignment="1">
      <alignment horizontal="center" vertical="center"/>
    </xf>
    <xf numFmtId="0" fontId="10" fillId="0" borderId="102" xfId="1" applyFont="1" applyBorder="1" applyAlignment="1">
      <alignment horizontal="center" vertical="center"/>
    </xf>
    <xf numFmtId="0" fontId="10" fillId="0" borderId="48" xfId="1" applyFont="1" applyBorder="1" applyAlignment="1">
      <alignment horizontal="center" vertical="center" wrapText="1"/>
    </xf>
    <xf numFmtId="0" fontId="10" fillId="0" borderId="55" xfId="1" applyFont="1" applyBorder="1" applyAlignment="1">
      <alignment horizontal="center" vertical="center" wrapText="1"/>
    </xf>
    <xf numFmtId="0" fontId="10" fillId="0" borderId="46" xfId="1" applyFont="1" applyBorder="1" applyAlignment="1">
      <alignment horizontal="center" vertical="center" wrapText="1"/>
    </xf>
    <xf numFmtId="0" fontId="1" fillId="0" borderId="7" xfId="1" applyBorder="1" applyAlignment="1">
      <alignment vertical="center"/>
    </xf>
    <xf numFmtId="0" fontId="1" fillId="0" borderId="44" xfId="1" applyBorder="1" applyAlignment="1">
      <alignment vertical="center"/>
    </xf>
    <xf numFmtId="0" fontId="11" fillId="0" borderId="2" xfId="1" applyFont="1" applyBorder="1" applyAlignment="1">
      <alignment horizontal="center"/>
    </xf>
    <xf numFmtId="0" fontId="10" fillId="0" borderId="103" xfId="1" applyNumberFormat="1" applyFont="1" applyBorder="1" applyAlignment="1">
      <alignment horizontal="center"/>
    </xf>
    <xf numFmtId="49" fontId="10" fillId="0" borderId="106" xfId="1" applyNumberFormat="1" applyFont="1" applyBorder="1" applyAlignment="1">
      <alignment horizontal="center"/>
    </xf>
    <xf numFmtId="49" fontId="10" fillId="0" borderId="104" xfId="1" applyNumberFormat="1" applyFont="1" applyBorder="1" applyAlignment="1">
      <alignment horizontal="center"/>
    </xf>
    <xf numFmtId="49" fontId="10" fillId="0" borderId="105" xfId="1" applyNumberFormat="1" applyFont="1" applyBorder="1" applyAlignment="1">
      <alignment horizontal="center"/>
    </xf>
  </cellXfs>
  <cellStyles count="4">
    <cellStyle name="Гиперссылка" xfId="2" builtinId="8"/>
    <cellStyle name="Обычный" xfId="0" builtinId="0"/>
    <cellStyle name="Обычный 2" xfId="1"/>
    <cellStyle name="Обычный_TMP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lanker.r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GH91"/>
  <sheetViews>
    <sheetView showGridLines="0" tabSelected="1" topLeftCell="F22" zoomScaleNormal="100" zoomScaleSheetLayoutView="55" workbookViewId="0">
      <selection activeCell="FP48" sqref="FP48:GH51"/>
    </sheetView>
  </sheetViews>
  <sheetFormatPr defaultColWidth="0.7109375" defaultRowHeight="12.75" x14ac:dyDescent="0.2"/>
  <cols>
    <col min="1" max="24" width="0.7109375" style="50"/>
    <col min="25" max="25" width="0.140625" style="50" customWidth="1"/>
    <col min="26" max="26" width="0.7109375" style="50" hidden="1" customWidth="1"/>
    <col min="27" max="27" width="1.85546875" style="50" customWidth="1"/>
    <col min="28" max="44" width="0.7109375" style="50"/>
    <col min="45" max="45" width="0.7109375" style="50" customWidth="1"/>
    <col min="46" max="73" width="0.7109375" style="50"/>
    <col min="74" max="74" width="3" style="50" customWidth="1"/>
    <col min="75" max="108" width="0.7109375" style="50"/>
    <col min="109" max="110" width="1.85546875" style="50" bestFit="1" customWidth="1"/>
    <col min="111" max="144" width="0.7109375" style="50"/>
    <col min="145" max="145" width="0.7109375" style="50" customWidth="1"/>
    <col min="146" max="172" width="0.7109375" style="50"/>
    <col min="173" max="173" width="0.42578125" style="50" customWidth="1"/>
    <col min="174" max="174" width="0.7109375" style="50" hidden="1" customWidth="1"/>
    <col min="175" max="177" width="0.7109375" style="50"/>
    <col min="178" max="178" width="1.140625" style="50" customWidth="1"/>
    <col min="179" max="179" width="0.140625" style="50" customWidth="1"/>
    <col min="180" max="180" width="0.28515625" style="50" hidden="1" customWidth="1"/>
    <col min="181" max="181" width="0.7109375" style="50" hidden="1" customWidth="1"/>
    <col min="182" max="182" width="0.7109375" style="50"/>
    <col min="183" max="183" width="0.5703125" style="50" customWidth="1"/>
    <col min="184" max="185" width="0.7109375" style="50" hidden="1" customWidth="1"/>
    <col min="186" max="186" width="0.7109375" style="50"/>
    <col min="187" max="187" width="0.7109375" style="50" customWidth="1"/>
    <col min="188" max="16384" width="0.7109375" style="50"/>
  </cols>
  <sheetData>
    <row r="1" spans="1:187" s="1" customFormat="1" ht="10.5" customHeight="1" x14ac:dyDescent="0.2">
      <c r="EF1" s="2" t="s">
        <v>0</v>
      </c>
    </row>
    <row r="2" spans="1:187" s="1" customFormat="1" ht="10.5" customHeight="1" x14ac:dyDescent="0.2">
      <c r="EF2" s="2" t="s">
        <v>1</v>
      </c>
    </row>
    <row r="3" spans="1:187" s="1" customFormat="1" ht="10.5" customHeight="1" x14ac:dyDescent="0.2">
      <c r="EG3" s="2" t="s">
        <v>2</v>
      </c>
      <c r="EH3" s="2"/>
    </row>
    <row r="4" spans="1:187" s="1" customFormat="1" ht="12.75" customHeight="1" thickBot="1" x14ac:dyDescent="0.25">
      <c r="D4" s="3"/>
      <c r="FM4" s="113" t="s">
        <v>3</v>
      </c>
      <c r="FN4" s="114"/>
      <c r="FO4" s="114"/>
      <c r="FP4" s="114"/>
      <c r="FQ4" s="114"/>
      <c r="FR4" s="114"/>
      <c r="FS4" s="114"/>
      <c r="FT4" s="114"/>
      <c r="FU4" s="114"/>
      <c r="FV4" s="114"/>
      <c r="FW4" s="114"/>
      <c r="FX4" s="114"/>
      <c r="FY4" s="114"/>
      <c r="FZ4" s="114"/>
      <c r="GA4" s="114"/>
      <c r="GB4" s="114"/>
      <c r="GC4" s="114"/>
      <c r="GD4" s="114"/>
      <c r="GE4" s="115"/>
    </row>
    <row r="5" spans="1:187" s="1" customFormat="1" ht="13.5" customHeight="1" x14ac:dyDescent="0.25">
      <c r="D5" s="4"/>
      <c r="EQ5" s="5" t="s">
        <v>4</v>
      </c>
      <c r="FM5" s="116" t="s">
        <v>5</v>
      </c>
      <c r="FN5" s="117"/>
      <c r="FO5" s="117"/>
      <c r="FP5" s="117"/>
      <c r="FQ5" s="117"/>
      <c r="FR5" s="117"/>
      <c r="FS5" s="117"/>
      <c r="FT5" s="117"/>
      <c r="FU5" s="117"/>
      <c r="FV5" s="117"/>
      <c r="FW5" s="117"/>
      <c r="FX5" s="117"/>
      <c r="FY5" s="117"/>
      <c r="FZ5" s="117"/>
      <c r="GA5" s="117"/>
      <c r="GB5" s="117"/>
      <c r="GC5" s="117"/>
      <c r="GD5" s="117"/>
      <c r="GE5" s="118"/>
    </row>
    <row r="6" spans="1:187" s="1" customFormat="1" ht="14.25" customHeight="1" x14ac:dyDescent="0.25">
      <c r="BD6" s="6" t="s">
        <v>6</v>
      </c>
      <c r="DR6" s="119" t="s">
        <v>7</v>
      </c>
      <c r="DS6" s="119"/>
      <c r="DT6" s="119"/>
      <c r="DU6" s="119"/>
      <c r="DV6" s="119"/>
      <c r="DW6" s="119"/>
      <c r="DX6" s="119"/>
      <c r="DY6" s="119"/>
      <c r="DZ6" s="119"/>
      <c r="EA6" s="119"/>
      <c r="EB6" s="119"/>
      <c r="EC6" s="119"/>
      <c r="ED6" s="119"/>
      <c r="EE6" s="119"/>
      <c r="EF6" s="119"/>
      <c r="EG6" s="119"/>
      <c r="EH6" s="119"/>
      <c r="EI6" s="119"/>
      <c r="EJ6" s="119"/>
      <c r="EK6" s="119"/>
      <c r="EL6" s="119"/>
      <c r="EM6" s="119"/>
      <c r="EN6" s="119"/>
      <c r="EO6" s="119"/>
      <c r="EP6" s="119"/>
      <c r="EQ6" s="119"/>
      <c r="ER6" s="119"/>
      <c r="ES6" s="119"/>
      <c r="ET6" s="119"/>
      <c r="EU6" s="119"/>
      <c r="EV6" s="119"/>
      <c r="EW6" s="119"/>
      <c r="EX6" s="119"/>
      <c r="EY6" s="119"/>
      <c r="EZ6" s="119"/>
      <c r="FA6" s="119"/>
      <c r="FB6" s="119"/>
      <c r="FC6" s="119"/>
      <c r="FD6" s="119"/>
      <c r="FE6" s="119"/>
      <c r="FF6" s="119"/>
      <c r="FG6" s="119"/>
      <c r="FI6" s="1" t="s">
        <v>8</v>
      </c>
      <c r="FM6" s="120">
        <f ca="1">TODAY()-42095</f>
        <v>1394</v>
      </c>
      <c r="FN6" s="121"/>
      <c r="FO6" s="121"/>
      <c r="FP6" s="121"/>
      <c r="FQ6" s="121"/>
      <c r="FR6" s="121"/>
      <c r="FS6" s="121"/>
      <c r="FT6" s="121"/>
      <c r="FU6" s="121"/>
      <c r="FV6" s="121"/>
      <c r="FW6" s="121"/>
      <c r="FX6" s="121"/>
      <c r="FY6" s="121"/>
      <c r="FZ6" s="121"/>
      <c r="GA6" s="121"/>
      <c r="GB6" s="121"/>
      <c r="GC6" s="121"/>
      <c r="GD6" s="121"/>
      <c r="GE6" s="122"/>
    </row>
    <row r="7" spans="1:187" s="1" customFormat="1" ht="7.5" customHeight="1" x14ac:dyDescent="0.2">
      <c r="DR7" s="123" t="s">
        <v>9</v>
      </c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M7" s="124">
        <f ca="1">TODAY()</f>
        <v>43489</v>
      </c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6"/>
    </row>
    <row r="8" spans="1:187" s="1" customFormat="1" ht="9.75" customHeight="1" x14ac:dyDescent="0.2"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K8" s="8" t="s">
        <v>10</v>
      </c>
      <c r="FM8" s="127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9"/>
    </row>
    <row r="9" spans="1:187" s="1" customFormat="1" ht="24.75" customHeight="1" x14ac:dyDescent="0.2">
      <c r="A9" s="142" t="s">
        <v>11</v>
      </c>
      <c r="B9" s="142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3" t="s">
        <v>12</v>
      </c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  <c r="EH9" s="143"/>
      <c r="EI9" s="143"/>
      <c r="EJ9" s="143"/>
      <c r="EK9" s="143"/>
      <c r="EL9" s="143"/>
      <c r="EM9" s="143"/>
      <c r="EN9" s="143"/>
      <c r="EO9" s="143"/>
      <c r="EP9" s="143"/>
      <c r="EQ9" s="143"/>
      <c r="ER9" s="143"/>
      <c r="ES9" s="143"/>
      <c r="ET9" s="143"/>
      <c r="EU9" s="143"/>
      <c r="EV9" s="143"/>
      <c r="EW9" s="143"/>
      <c r="EX9" s="143"/>
      <c r="EY9" s="143"/>
      <c r="EZ9" s="143"/>
      <c r="FA9" s="132" t="s">
        <v>13</v>
      </c>
      <c r="FB9" s="132"/>
      <c r="FC9" s="132"/>
      <c r="FD9" s="132"/>
      <c r="FE9" s="132"/>
      <c r="FF9" s="132"/>
      <c r="FG9" s="132"/>
      <c r="FH9" s="132"/>
      <c r="FI9" s="132"/>
      <c r="FJ9" s="132"/>
      <c r="FK9" s="132"/>
      <c r="FL9" s="133"/>
      <c r="FM9" s="144" t="s">
        <v>14</v>
      </c>
      <c r="FN9" s="145"/>
      <c r="FO9" s="145"/>
      <c r="FP9" s="145"/>
      <c r="FQ9" s="145"/>
      <c r="FR9" s="145"/>
      <c r="FS9" s="145"/>
      <c r="FT9" s="145"/>
      <c r="FU9" s="145"/>
      <c r="FV9" s="145"/>
      <c r="FW9" s="145"/>
      <c r="FX9" s="145"/>
      <c r="FY9" s="145"/>
      <c r="FZ9" s="145"/>
      <c r="GA9" s="145"/>
      <c r="GB9" s="145"/>
      <c r="GC9" s="145"/>
      <c r="GD9" s="145"/>
      <c r="GE9" s="146"/>
    </row>
    <row r="10" spans="1:187" s="1" customFormat="1" ht="7.5" customHeight="1" x14ac:dyDescent="0.2">
      <c r="A10" s="147" t="s">
        <v>15</v>
      </c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31" t="s">
        <v>16</v>
      </c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1"/>
      <c r="BY10" s="131"/>
      <c r="BZ10" s="131"/>
      <c r="CA10" s="131"/>
      <c r="CB10" s="131"/>
      <c r="CC10" s="131"/>
      <c r="CD10" s="131"/>
      <c r="CE10" s="131"/>
      <c r="CF10" s="131"/>
      <c r="CG10" s="131"/>
      <c r="CH10" s="131"/>
      <c r="CI10" s="131"/>
      <c r="CJ10" s="131"/>
      <c r="CK10" s="131"/>
      <c r="CL10" s="131"/>
      <c r="CM10" s="131"/>
      <c r="CN10" s="131"/>
      <c r="CO10" s="131"/>
      <c r="CP10" s="131"/>
      <c r="CQ10" s="131"/>
      <c r="CR10" s="131"/>
      <c r="CS10" s="131"/>
      <c r="CT10" s="131"/>
      <c r="CU10" s="131"/>
      <c r="CV10" s="131"/>
      <c r="CW10" s="131"/>
      <c r="CX10" s="131"/>
      <c r="CY10" s="131"/>
      <c r="CZ10" s="131"/>
      <c r="DA10" s="131"/>
      <c r="DB10" s="131"/>
      <c r="DC10" s="131"/>
      <c r="DD10" s="131"/>
      <c r="DE10" s="131"/>
      <c r="DF10" s="131"/>
      <c r="DG10" s="131"/>
      <c r="DH10" s="131"/>
      <c r="DI10" s="131"/>
      <c r="DJ10" s="131"/>
      <c r="DK10" s="131"/>
      <c r="DL10" s="131"/>
      <c r="DM10" s="131"/>
      <c r="DN10" s="131"/>
      <c r="DO10" s="131"/>
      <c r="DP10" s="131"/>
      <c r="DQ10" s="131"/>
      <c r="DR10" s="131"/>
      <c r="DS10" s="131"/>
      <c r="DT10" s="131"/>
      <c r="DU10" s="131"/>
      <c r="DV10" s="131"/>
      <c r="DW10" s="131"/>
      <c r="DX10" s="131"/>
      <c r="DY10" s="131"/>
      <c r="DZ10" s="131"/>
      <c r="EA10" s="131"/>
      <c r="EB10" s="131"/>
      <c r="EC10" s="131"/>
      <c r="ED10" s="131"/>
      <c r="EE10" s="131"/>
      <c r="EF10" s="131"/>
      <c r="EG10" s="131"/>
      <c r="EH10" s="131"/>
      <c r="EI10" s="131"/>
      <c r="EJ10" s="131"/>
      <c r="EK10" s="131"/>
      <c r="EL10" s="131"/>
      <c r="EM10" s="131"/>
      <c r="EN10" s="131"/>
      <c r="EO10" s="131"/>
      <c r="EP10" s="131"/>
      <c r="EQ10" s="131"/>
      <c r="ER10" s="131"/>
      <c r="ES10" s="131"/>
      <c r="ET10" s="131"/>
      <c r="EU10" s="131"/>
      <c r="EV10" s="131"/>
      <c r="EW10" s="131"/>
      <c r="EX10" s="131"/>
      <c r="EY10" s="131"/>
      <c r="EZ10" s="131"/>
      <c r="FA10" s="132" t="s">
        <v>13</v>
      </c>
      <c r="FB10" s="132"/>
      <c r="FC10" s="132"/>
      <c r="FD10" s="132"/>
      <c r="FE10" s="132"/>
      <c r="FF10" s="132"/>
      <c r="FG10" s="132"/>
      <c r="FH10" s="132"/>
      <c r="FI10" s="132"/>
      <c r="FJ10" s="132"/>
      <c r="FK10" s="132"/>
      <c r="FL10" s="133"/>
      <c r="FM10" s="134"/>
      <c r="FN10" s="135"/>
      <c r="FO10" s="135"/>
      <c r="FP10" s="135"/>
      <c r="FQ10" s="135"/>
      <c r="FR10" s="135"/>
      <c r="FS10" s="135"/>
      <c r="FT10" s="135"/>
      <c r="FU10" s="135"/>
      <c r="FV10" s="135"/>
      <c r="FW10" s="135"/>
      <c r="FX10" s="135"/>
      <c r="FY10" s="135"/>
      <c r="FZ10" s="135"/>
      <c r="GA10" s="135"/>
      <c r="GB10" s="135"/>
      <c r="GC10" s="135"/>
      <c r="GD10" s="135"/>
      <c r="GE10" s="136"/>
    </row>
    <row r="11" spans="1:187" s="1" customFormat="1" ht="23.25" customHeight="1" x14ac:dyDescent="0.2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0" t="s">
        <v>17</v>
      </c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40"/>
      <c r="CD11" s="140"/>
      <c r="CE11" s="140"/>
      <c r="CF11" s="140"/>
      <c r="CG11" s="140"/>
      <c r="CH11" s="140"/>
      <c r="CI11" s="140"/>
      <c r="CJ11" s="140"/>
      <c r="CK11" s="140"/>
      <c r="CL11" s="140"/>
      <c r="CM11" s="140"/>
      <c r="CN11" s="140"/>
      <c r="CO11" s="140"/>
      <c r="CP11" s="140"/>
      <c r="CQ11" s="140"/>
      <c r="CR11" s="140"/>
      <c r="CS11" s="140"/>
      <c r="CT11" s="140"/>
      <c r="CU11" s="140"/>
      <c r="CV11" s="140"/>
      <c r="CW11" s="140"/>
      <c r="CX11" s="140"/>
      <c r="CY11" s="140"/>
      <c r="CZ11" s="140"/>
      <c r="DA11" s="140"/>
      <c r="DB11" s="140"/>
      <c r="DC11" s="140"/>
      <c r="DD11" s="140"/>
      <c r="DE11" s="140"/>
      <c r="DF11" s="140"/>
      <c r="DG11" s="140"/>
      <c r="DH11" s="140"/>
      <c r="DI11" s="140"/>
      <c r="DJ11" s="140"/>
      <c r="DK11" s="140"/>
      <c r="DL11" s="140"/>
      <c r="DM11" s="140"/>
      <c r="DN11" s="140"/>
      <c r="DO11" s="140"/>
      <c r="DP11" s="140"/>
      <c r="DQ11" s="140"/>
      <c r="DR11" s="140"/>
      <c r="DS11" s="140"/>
      <c r="DT11" s="140"/>
      <c r="DU11" s="140"/>
      <c r="DV11" s="140"/>
      <c r="DW11" s="140"/>
      <c r="DX11" s="140"/>
      <c r="DY11" s="140"/>
      <c r="DZ11" s="140"/>
      <c r="EA11" s="140"/>
      <c r="EB11" s="140"/>
      <c r="EC11" s="140"/>
      <c r="ED11" s="140"/>
      <c r="EE11" s="140"/>
      <c r="EF11" s="140"/>
      <c r="EG11" s="140"/>
      <c r="EH11" s="140"/>
      <c r="EI11" s="140"/>
      <c r="EJ11" s="140"/>
      <c r="EK11" s="140"/>
      <c r="EL11" s="140"/>
      <c r="EM11" s="140"/>
      <c r="EN11" s="140"/>
      <c r="EO11" s="140"/>
      <c r="EP11" s="140"/>
      <c r="EQ11" s="140"/>
      <c r="ER11" s="140"/>
      <c r="ES11" s="140"/>
      <c r="ET11" s="140"/>
      <c r="EU11" s="140"/>
      <c r="EV11" s="140"/>
      <c r="EW11" s="140"/>
      <c r="EX11" s="140"/>
      <c r="EY11" s="140"/>
      <c r="EZ11" s="140"/>
      <c r="FA11" s="132"/>
      <c r="FB11" s="132"/>
      <c r="FC11" s="132"/>
      <c r="FD11" s="132"/>
      <c r="FE11" s="132"/>
      <c r="FF11" s="132"/>
      <c r="FG11" s="132"/>
      <c r="FH11" s="132"/>
      <c r="FI11" s="132"/>
      <c r="FJ11" s="132"/>
      <c r="FK11" s="132"/>
      <c r="FL11" s="133"/>
      <c r="FM11" s="144"/>
      <c r="FN11" s="145"/>
      <c r="FO11" s="145"/>
      <c r="FP11" s="145"/>
      <c r="FQ11" s="145"/>
      <c r="FR11" s="145"/>
      <c r="FS11" s="145"/>
      <c r="FT11" s="145"/>
      <c r="FU11" s="145"/>
      <c r="FV11" s="145"/>
      <c r="FW11" s="145"/>
      <c r="FX11" s="145"/>
      <c r="FY11" s="145"/>
      <c r="FZ11" s="145"/>
      <c r="GA11" s="145"/>
      <c r="GB11" s="145"/>
      <c r="GC11" s="145"/>
      <c r="GD11" s="145"/>
      <c r="GE11" s="146"/>
    </row>
    <row r="12" spans="1:187" s="1" customFormat="1" ht="7.5" customHeight="1" x14ac:dyDescent="0.2">
      <c r="A12" s="130" t="s">
        <v>18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V12" s="131" t="s">
        <v>16</v>
      </c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131"/>
      <c r="CG12" s="131"/>
      <c r="CH12" s="131"/>
      <c r="CI12" s="131"/>
      <c r="CJ12" s="131"/>
      <c r="CK12" s="131"/>
      <c r="CL12" s="131"/>
      <c r="CM12" s="131"/>
      <c r="CN12" s="131"/>
      <c r="CO12" s="131"/>
      <c r="CP12" s="131"/>
      <c r="CQ12" s="131"/>
      <c r="CR12" s="131"/>
      <c r="CS12" s="131"/>
      <c r="CT12" s="131"/>
      <c r="CU12" s="131"/>
      <c r="CV12" s="131"/>
      <c r="CW12" s="131"/>
      <c r="CX12" s="131"/>
      <c r="CY12" s="131"/>
      <c r="CZ12" s="131"/>
      <c r="DA12" s="131"/>
      <c r="DB12" s="131"/>
      <c r="DC12" s="131"/>
      <c r="DD12" s="131"/>
      <c r="DE12" s="131"/>
      <c r="DF12" s="131"/>
      <c r="DG12" s="131"/>
      <c r="DH12" s="131"/>
      <c r="DI12" s="131"/>
      <c r="DJ12" s="131"/>
      <c r="DK12" s="131"/>
      <c r="DL12" s="131"/>
      <c r="DM12" s="131"/>
      <c r="DN12" s="131"/>
      <c r="DO12" s="131"/>
      <c r="DP12" s="131"/>
      <c r="DQ12" s="131"/>
      <c r="DR12" s="131"/>
      <c r="DS12" s="131"/>
      <c r="DT12" s="131"/>
      <c r="DU12" s="131"/>
      <c r="DV12" s="131"/>
      <c r="DW12" s="131"/>
      <c r="DX12" s="131"/>
      <c r="DY12" s="131"/>
      <c r="DZ12" s="131"/>
      <c r="EA12" s="131"/>
      <c r="EB12" s="131"/>
      <c r="EC12" s="131"/>
      <c r="ED12" s="131"/>
      <c r="EE12" s="131"/>
      <c r="EF12" s="131"/>
      <c r="EG12" s="131"/>
      <c r="EH12" s="131"/>
      <c r="EI12" s="131"/>
      <c r="EJ12" s="131"/>
      <c r="EK12" s="131"/>
      <c r="EL12" s="131"/>
      <c r="EM12" s="131"/>
      <c r="EN12" s="131"/>
      <c r="EO12" s="131"/>
      <c r="EP12" s="131"/>
      <c r="EQ12" s="131"/>
      <c r="ER12" s="131"/>
      <c r="ES12" s="131"/>
      <c r="ET12" s="131"/>
      <c r="EU12" s="131"/>
      <c r="EV12" s="131"/>
      <c r="EW12" s="131"/>
      <c r="EX12" s="131"/>
      <c r="EY12" s="131"/>
      <c r="EZ12" s="131"/>
      <c r="FA12" s="132" t="s">
        <v>13</v>
      </c>
      <c r="FB12" s="132"/>
      <c r="FC12" s="132"/>
      <c r="FD12" s="132"/>
      <c r="FE12" s="132"/>
      <c r="FF12" s="132"/>
      <c r="FG12" s="132"/>
      <c r="FH12" s="132"/>
      <c r="FI12" s="132"/>
      <c r="FJ12" s="132"/>
      <c r="FK12" s="132"/>
      <c r="FL12" s="133"/>
      <c r="FM12" s="134" t="s">
        <v>14</v>
      </c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6"/>
    </row>
    <row r="13" spans="1:187" s="1" customFormat="1" ht="27.75" customHeight="1" thickBot="1" x14ac:dyDescent="0.25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V13" s="140" t="s">
        <v>19</v>
      </c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140"/>
      <c r="BP13" s="140"/>
      <c r="BQ13" s="140"/>
      <c r="BR13" s="140"/>
      <c r="BS13" s="140"/>
      <c r="BT13" s="140"/>
      <c r="BU13" s="140"/>
      <c r="BV13" s="140"/>
      <c r="BW13" s="140"/>
      <c r="BX13" s="140"/>
      <c r="BY13" s="140"/>
      <c r="BZ13" s="140"/>
      <c r="CA13" s="140"/>
      <c r="CB13" s="140"/>
      <c r="CC13" s="140"/>
      <c r="CD13" s="140"/>
      <c r="CE13" s="140"/>
      <c r="CF13" s="140"/>
      <c r="CG13" s="140"/>
      <c r="CH13" s="140"/>
      <c r="CI13" s="140"/>
      <c r="CJ13" s="140"/>
      <c r="CK13" s="140"/>
      <c r="CL13" s="140"/>
      <c r="CM13" s="140"/>
      <c r="CN13" s="140"/>
      <c r="CO13" s="140"/>
      <c r="CP13" s="140"/>
      <c r="CQ13" s="140"/>
      <c r="CR13" s="140"/>
      <c r="CS13" s="140"/>
      <c r="CT13" s="140"/>
      <c r="CU13" s="140"/>
      <c r="CV13" s="140"/>
      <c r="CW13" s="140"/>
      <c r="CX13" s="140"/>
      <c r="CY13" s="140"/>
      <c r="CZ13" s="140"/>
      <c r="DA13" s="140"/>
      <c r="DB13" s="140"/>
      <c r="DC13" s="140"/>
      <c r="DD13" s="140"/>
      <c r="DE13" s="140"/>
      <c r="DF13" s="140"/>
      <c r="DG13" s="140"/>
      <c r="DH13" s="140"/>
      <c r="DI13" s="140"/>
      <c r="DJ13" s="140"/>
      <c r="DK13" s="140"/>
      <c r="DL13" s="140"/>
      <c r="DM13" s="140"/>
      <c r="DN13" s="140"/>
      <c r="DO13" s="140"/>
      <c r="DP13" s="140"/>
      <c r="DQ13" s="140"/>
      <c r="DR13" s="140"/>
      <c r="DS13" s="140"/>
      <c r="DT13" s="140"/>
      <c r="DU13" s="140"/>
      <c r="DV13" s="140"/>
      <c r="DW13" s="140"/>
      <c r="DX13" s="140"/>
      <c r="DY13" s="140"/>
      <c r="DZ13" s="140"/>
      <c r="EA13" s="140"/>
      <c r="EB13" s="140"/>
      <c r="EC13" s="140"/>
      <c r="ED13" s="140"/>
      <c r="EE13" s="140"/>
      <c r="EF13" s="140"/>
      <c r="EG13" s="140"/>
      <c r="EH13" s="140"/>
      <c r="EI13" s="140"/>
      <c r="EJ13" s="140"/>
      <c r="EK13" s="140"/>
      <c r="EL13" s="140"/>
      <c r="EM13" s="140"/>
      <c r="EN13" s="140"/>
      <c r="EO13" s="140"/>
      <c r="EP13" s="140"/>
      <c r="EQ13" s="140"/>
      <c r="ER13" s="140"/>
      <c r="ES13" s="140"/>
      <c r="ET13" s="140"/>
      <c r="EU13" s="140"/>
      <c r="EV13" s="140"/>
      <c r="EW13" s="140"/>
      <c r="EX13" s="140"/>
      <c r="EY13" s="140"/>
      <c r="EZ13" s="140"/>
      <c r="FA13" s="132"/>
      <c r="FB13" s="132"/>
      <c r="FC13" s="132"/>
      <c r="FD13" s="132"/>
      <c r="FE13" s="132"/>
      <c r="FF13" s="132"/>
      <c r="FG13" s="132"/>
      <c r="FH13" s="132"/>
      <c r="FI13" s="132"/>
      <c r="FJ13" s="132"/>
      <c r="FK13" s="132"/>
      <c r="FL13" s="133"/>
      <c r="FM13" s="137"/>
      <c r="FN13" s="138"/>
      <c r="FO13" s="138"/>
      <c r="FP13" s="138"/>
      <c r="FQ13" s="138"/>
      <c r="FR13" s="138"/>
      <c r="FS13" s="138"/>
      <c r="FT13" s="138"/>
      <c r="FU13" s="138"/>
      <c r="FV13" s="138"/>
      <c r="FW13" s="138"/>
      <c r="FX13" s="138"/>
      <c r="FY13" s="138"/>
      <c r="FZ13" s="138"/>
      <c r="GA13" s="138"/>
      <c r="GB13" s="138"/>
      <c r="GC13" s="138"/>
      <c r="GD13" s="138"/>
      <c r="GE13" s="139"/>
    </row>
    <row r="14" spans="1:187" s="1" customFormat="1" ht="9.75" customHeight="1" x14ac:dyDescent="0.2">
      <c r="V14" s="141" t="s">
        <v>20</v>
      </c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1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  <c r="CK14" s="141"/>
      <c r="CL14" s="141"/>
      <c r="CM14" s="141"/>
      <c r="CN14" s="141"/>
      <c r="CO14" s="141"/>
      <c r="CP14" s="141"/>
      <c r="CQ14" s="141"/>
      <c r="CR14" s="141"/>
      <c r="CS14" s="141"/>
      <c r="CT14" s="141"/>
      <c r="CU14" s="141"/>
      <c r="CV14" s="141"/>
      <c r="CW14" s="141"/>
      <c r="CX14" s="141"/>
      <c r="CY14" s="141"/>
      <c r="CZ14" s="141"/>
      <c r="DA14" s="141"/>
      <c r="DB14" s="141"/>
      <c r="DC14" s="141"/>
      <c r="DD14" s="141"/>
      <c r="DE14" s="141"/>
      <c r="DF14" s="141"/>
      <c r="DG14" s="141"/>
      <c r="DH14" s="141"/>
      <c r="DI14" s="141"/>
      <c r="DJ14" s="141"/>
      <c r="DK14" s="141"/>
      <c r="DL14" s="141"/>
      <c r="DM14" s="141"/>
      <c r="DN14" s="141"/>
      <c r="DO14" s="141"/>
      <c r="DP14" s="141"/>
      <c r="DQ14" s="141"/>
      <c r="DR14" s="141"/>
      <c r="DS14" s="141"/>
      <c r="DT14" s="141"/>
      <c r="DU14" s="141"/>
      <c r="DV14" s="141"/>
      <c r="DW14" s="141"/>
      <c r="DX14" s="141"/>
      <c r="DY14" s="141"/>
      <c r="DZ14" s="141"/>
      <c r="EA14" s="141"/>
      <c r="EB14" s="141"/>
      <c r="EC14" s="141"/>
      <c r="ED14" s="141"/>
      <c r="EE14" s="141"/>
      <c r="EF14" s="141"/>
      <c r="EG14" s="141"/>
      <c r="EH14" s="141"/>
      <c r="EI14" s="141"/>
      <c r="EJ14" s="141"/>
      <c r="EK14" s="141"/>
      <c r="EL14" s="141"/>
      <c r="EM14" s="141"/>
      <c r="EN14" s="141"/>
      <c r="EO14" s="141"/>
      <c r="EP14" s="141"/>
      <c r="EQ14" s="141"/>
      <c r="ER14" s="141"/>
      <c r="ES14" s="141"/>
      <c r="ET14" s="141"/>
      <c r="EU14" s="141"/>
      <c r="EV14" s="141"/>
      <c r="EW14" s="141"/>
      <c r="EX14" s="141"/>
      <c r="EY14" s="141"/>
      <c r="EZ14" s="141"/>
    </row>
    <row r="15" spans="1:187" s="1" customFormat="1" ht="15" customHeight="1" thickBot="1" x14ac:dyDescent="0.25">
      <c r="A15" s="148" t="s">
        <v>21</v>
      </c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  <c r="DR15" s="148"/>
      <c r="DS15" s="148"/>
      <c r="DT15" s="148"/>
      <c r="DU15" s="148"/>
      <c r="DV15" s="148"/>
      <c r="DW15" s="148"/>
      <c r="DX15" s="148"/>
      <c r="DY15" s="148"/>
      <c r="DZ15" s="148"/>
      <c r="EA15" s="148"/>
      <c r="EB15" s="148"/>
      <c r="EC15" s="148"/>
      <c r="ED15" s="148"/>
      <c r="EE15" s="148"/>
      <c r="EF15" s="148"/>
      <c r="EG15" s="148"/>
      <c r="EH15" s="148"/>
      <c r="EI15" s="148"/>
      <c r="EJ15" s="148"/>
      <c r="EK15" s="148"/>
      <c r="EL15" s="148"/>
      <c r="EM15" s="148"/>
      <c r="EN15" s="148"/>
      <c r="EO15" s="148"/>
      <c r="EP15" s="148"/>
      <c r="EQ15" s="148"/>
      <c r="ER15" s="148"/>
      <c r="ES15" s="148"/>
      <c r="ET15" s="148"/>
      <c r="EU15" s="148"/>
      <c r="EV15" s="148"/>
      <c r="EW15" s="148"/>
      <c r="EX15" s="148"/>
      <c r="EY15" s="148"/>
      <c r="EZ15" s="148"/>
      <c r="FA15" s="148"/>
      <c r="FB15" s="148"/>
      <c r="FC15" s="148"/>
      <c r="FD15" s="148"/>
      <c r="FE15" s="148"/>
      <c r="FF15" s="148"/>
      <c r="FG15" s="148"/>
      <c r="FH15" s="148"/>
      <c r="FI15" s="148"/>
      <c r="FJ15" s="148"/>
      <c r="FK15" s="148"/>
      <c r="FL15" s="148"/>
      <c r="FM15" s="148"/>
      <c r="FN15" s="148"/>
      <c r="FO15" s="148"/>
      <c r="FP15" s="148"/>
      <c r="FQ15" s="148"/>
      <c r="FR15" s="148"/>
      <c r="FS15" s="148"/>
      <c r="FT15" s="148"/>
      <c r="FU15" s="148"/>
      <c r="FV15" s="148"/>
      <c r="FW15" s="148"/>
      <c r="FX15" s="148"/>
      <c r="FY15" s="148"/>
      <c r="FZ15" s="148"/>
      <c r="GA15" s="148"/>
      <c r="GB15" s="148"/>
      <c r="GC15" s="148"/>
      <c r="GD15" s="148"/>
      <c r="GE15" s="148"/>
    </row>
    <row r="16" spans="1:187" s="1" customFormat="1" ht="71.45" customHeight="1" thickTop="1" x14ac:dyDescent="0.2">
      <c r="A16" s="149" t="s">
        <v>22</v>
      </c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1" t="s">
        <v>23</v>
      </c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 t="s">
        <v>24</v>
      </c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 t="s">
        <v>25</v>
      </c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 t="s">
        <v>26</v>
      </c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 t="s">
        <v>27</v>
      </c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 t="s">
        <v>28</v>
      </c>
      <c r="DI16" s="151"/>
      <c r="DJ16" s="151"/>
      <c r="DK16" s="151"/>
      <c r="DL16" s="151"/>
      <c r="DM16" s="151"/>
      <c r="DN16" s="151"/>
      <c r="DO16" s="151"/>
      <c r="DP16" s="151"/>
      <c r="DQ16" s="151"/>
      <c r="DR16" s="151"/>
      <c r="DS16" s="151" t="s">
        <v>29</v>
      </c>
      <c r="DT16" s="151"/>
      <c r="DU16" s="151"/>
      <c r="DV16" s="151"/>
      <c r="DW16" s="151"/>
      <c r="DX16" s="151"/>
      <c r="DY16" s="151"/>
      <c r="DZ16" s="151"/>
      <c r="EA16" s="151"/>
      <c r="EB16" s="151"/>
      <c r="EC16" s="151"/>
      <c r="ED16" s="151" t="s">
        <v>30</v>
      </c>
      <c r="EE16" s="151"/>
      <c r="EF16" s="151"/>
      <c r="EG16" s="151"/>
      <c r="EH16" s="151"/>
      <c r="EI16" s="151"/>
      <c r="EJ16" s="151"/>
      <c r="EK16" s="151"/>
      <c r="EL16" s="151"/>
      <c r="EM16" s="151"/>
      <c r="EN16" s="151"/>
      <c r="EO16" s="151" t="s">
        <v>31</v>
      </c>
      <c r="EP16" s="151"/>
      <c r="EQ16" s="151"/>
      <c r="ER16" s="151"/>
      <c r="ES16" s="151"/>
      <c r="ET16" s="151"/>
      <c r="EU16" s="151"/>
      <c r="EV16" s="151"/>
      <c r="EW16" s="151"/>
      <c r="EX16" s="151"/>
      <c r="EY16" s="151"/>
      <c r="EZ16" s="151"/>
      <c r="FA16" s="151"/>
      <c r="FB16" s="151"/>
      <c r="FC16" s="151" t="s">
        <v>32</v>
      </c>
      <c r="FD16" s="151"/>
      <c r="FE16" s="151"/>
      <c r="FF16" s="151"/>
      <c r="FG16" s="151"/>
      <c r="FH16" s="151"/>
      <c r="FI16" s="151"/>
      <c r="FJ16" s="151"/>
      <c r="FK16" s="151"/>
      <c r="FL16" s="151"/>
      <c r="FM16" s="151"/>
      <c r="FN16" s="150" t="s">
        <v>33</v>
      </c>
      <c r="FO16" s="150"/>
      <c r="FP16" s="150"/>
      <c r="FQ16" s="150"/>
      <c r="FR16" s="150"/>
      <c r="FS16" s="150"/>
      <c r="FT16" s="150"/>
      <c r="FU16" s="150"/>
      <c r="FV16" s="150"/>
      <c r="FW16" s="150"/>
      <c r="FX16" s="150"/>
      <c r="FY16" s="150"/>
      <c r="FZ16" s="150"/>
      <c r="GA16" s="150"/>
      <c r="GB16" s="150"/>
      <c r="GC16" s="150"/>
      <c r="GD16" s="150"/>
      <c r="GE16" s="152"/>
    </row>
    <row r="17" spans="1:189" s="1" customFormat="1" ht="9.6" customHeight="1" thickBot="1" x14ac:dyDescent="0.25">
      <c r="A17" s="175">
        <v>1</v>
      </c>
      <c r="B17" s="153"/>
      <c r="C17" s="153"/>
      <c r="D17" s="153"/>
      <c r="E17" s="153"/>
      <c r="F17" s="153"/>
      <c r="G17" s="153"/>
      <c r="H17" s="153"/>
      <c r="I17" s="153"/>
      <c r="J17" s="153"/>
      <c r="K17" s="153"/>
      <c r="L17" s="154">
        <v>2</v>
      </c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>
        <v>3</v>
      </c>
      <c r="AG17" s="154"/>
      <c r="AH17" s="154"/>
      <c r="AI17" s="154"/>
      <c r="AJ17" s="154"/>
      <c r="AK17" s="154"/>
      <c r="AL17" s="154"/>
      <c r="AM17" s="154"/>
      <c r="AN17" s="154"/>
      <c r="AO17" s="154"/>
      <c r="AP17" s="154"/>
      <c r="AQ17" s="154"/>
      <c r="AR17" s="154"/>
      <c r="AS17" s="153">
        <v>4</v>
      </c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153">
        <v>5</v>
      </c>
      <c r="BF17" s="153"/>
      <c r="BG17" s="153"/>
      <c r="BH17" s="153"/>
      <c r="BI17" s="153"/>
      <c r="BJ17" s="153"/>
      <c r="BK17" s="153"/>
      <c r="BL17" s="153"/>
      <c r="BM17" s="153"/>
      <c r="BN17" s="153"/>
      <c r="BO17" s="153"/>
      <c r="BP17" s="153"/>
      <c r="BQ17" s="153"/>
      <c r="BR17" s="153"/>
      <c r="BS17" s="153"/>
      <c r="BT17" s="153"/>
      <c r="BU17" s="154">
        <v>6</v>
      </c>
      <c r="BV17" s="154"/>
      <c r="BW17" s="154"/>
      <c r="BX17" s="154"/>
      <c r="BY17" s="154"/>
      <c r="BZ17" s="154"/>
      <c r="CA17" s="154"/>
      <c r="CB17" s="154"/>
      <c r="CC17" s="154"/>
      <c r="CD17" s="154"/>
      <c r="CE17" s="154"/>
      <c r="CF17" s="154"/>
      <c r="CG17" s="154"/>
      <c r="CH17" s="154"/>
      <c r="CI17" s="154"/>
      <c r="CJ17" s="154"/>
      <c r="CK17" s="154"/>
      <c r="CL17" s="154"/>
      <c r="CM17" s="154"/>
      <c r="CN17" s="154"/>
      <c r="CO17" s="154"/>
      <c r="CP17" s="154"/>
      <c r="CQ17" s="154"/>
      <c r="CR17" s="154"/>
      <c r="CS17" s="154"/>
      <c r="CT17" s="154"/>
      <c r="CU17" s="154"/>
      <c r="CV17" s="154"/>
      <c r="CW17" s="154"/>
      <c r="CX17" s="154"/>
      <c r="CY17" s="154"/>
      <c r="CZ17" s="154"/>
      <c r="DA17" s="154"/>
      <c r="DB17" s="154"/>
      <c r="DC17" s="154"/>
      <c r="DD17" s="154"/>
      <c r="DE17" s="154"/>
      <c r="DF17" s="154"/>
      <c r="DG17" s="154"/>
      <c r="DH17" s="154">
        <v>7</v>
      </c>
      <c r="DI17" s="154"/>
      <c r="DJ17" s="154"/>
      <c r="DK17" s="154"/>
      <c r="DL17" s="154"/>
      <c r="DM17" s="154"/>
      <c r="DN17" s="154"/>
      <c r="DO17" s="154"/>
      <c r="DP17" s="154"/>
      <c r="DQ17" s="154"/>
      <c r="DR17" s="154"/>
      <c r="DS17" s="154">
        <v>8</v>
      </c>
      <c r="DT17" s="154"/>
      <c r="DU17" s="154"/>
      <c r="DV17" s="154"/>
      <c r="DW17" s="154"/>
      <c r="DX17" s="154"/>
      <c r="DY17" s="154"/>
      <c r="DZ17" s="154"/>
      <c r="EA17" s="154"/>
      <c r="EB17" s="154"/>
      <c r="EC17" s="154"/>
      <c r="ED17" s="153">
        <v>9</v>
      </c>
      <c r="EE17" s="153"/>
      <c r="EF17" s="153"/>
      <c r="EG17" s="153"/>
      <c r="EH17" s="153"/>
      <c r="EI17" s="153"/>
      <c r="EJ17" s="153"/>
      <c r="EK17" s="153"/>
      <c r="EL17" s="153"/>
      <c r="EM17" s="153"/>
      <c r="EN17" s="153"/>
      <c r="EO17" s="153">
        <v>10</v>
      </c>
      <c r="EP17" s="153"/>
      <c r="EQ17" s="153"/>
      <c r="ER17" s="153"/>
      <c r="ES17" s="153"/>
      <c r="ET17" s="153"/>
      <c r="EU17" s="153"/>
      <c r="EV17" s="153"/>
      <c r="EW17" s="153"/>
      <c r="EX17" s="153"/>
      <c r="EY17" s="153"/>
      <c r="EZ17" s="153"/>
      <c r="FA17" s="153"/>
      <c r="FB17" s="153"/>
      <c r="FC17" s="153">
        <v>11</v>
      </c>
      <c r="FD17" s="153"/>
      <c r="FE17" s="153"/>
      <c r="FF17" s="153"/>
      <c r="FG17" s="153"/>
      <c r="FH17" s="153"/>
      <c r="FI17" s="153"/>
      <c r="FJ17" s="153"/>
      <c r="FK17" s="153"/>
      <c r="FL17" s="153"/>
      <c r="FM17" s="153"/>
      <c r="FN17" s="154">
        <v>12</v>
      </c>
      <c r="FO17" s="154"/>
      <c r="FP17" s="154"/>
      <c r="FQ17" s="154"/>
      <c r="FR17" s="154"/>
      <c r="FS17" s="154"/>
      <c r="FT17" s="154"/>
      <c r="FU17" s="154"/>
      <c r="FV17" s="154"/>
      <c r="FW17" s="154"/>
      <c r="FX17" s="154"/>
      <c r="FY17" s="154"/>
      <c r="FZ17" s="154"/>
      <c r="GA17" s="154"/>
      <c r="GB17" s="154"/>
      <c r="GC17" s="154"/>
      <c r="GD17" s="154"/>
      <c r="GE17" s="155"/>
    </row>
    <row r="18" spans="1:189" s="1" customFormat="1" ht="15" customHeight="1" thickTop="1" x14ac:dyDescent="0.2">
      <c r="A18" s="156" t="s">
        <v>34</v>
      </c>
      <c r="B18" s="157"/>
      <c r="C18" s="157"/>
      <c r="D18" s="157"/>
      <c r="E18" s="157"/>
      <c r="F18" s="157"/>
      <c r="G18" s="157"/>
      <c r="H18" s="157"/>
      <c r="I18" s="157"/>
      <c r="J18" s="157"/>
      <c r="K18" s="158"/>
      <c r="L18" s="159" t="s">
        <v>35</v>
      </c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 t="s">
        <v>35</v>
      </c>
      <c r="AG18" s="160"/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1"/>
      <c r="AS18" s="162">
        <f>TMP!L2</f>
        <v>317</v>
      </c>
      <c r="AT18" s="163"/>
      <c r="AU18" s="163"/>
      <c r="AV18" s="163"/>
      <c r="AW18" s="163"/>
      <c r="AX18" s="163"/>
      <c r="AY18" s="163"/>
      <c r="AZ18" s="163"/>
      <c r="BA18" s="163"/>
      <c r="BB18" s="163"/>
      <c r="BC18" s="163"/>
      <c r="BD18" s="163"/>
      <c r="BE18" s="164" t="s">
        <v>35</v>
      </c>
      <c r="BF18" s="165"/>
      <c r="BG18" s="165"/>
      <c r="BH18" s="165"/>
      <c r="BI18" s="165"/>
      <c r="BJ18" s="165"/>
      <c r="BK18" s="165"/>
      <c r="BL18" s="165"/>
      <c r="BM18" s="165"/>
      <c r="BN18" s="165"/>
      <c r="BO18" s="165"/>
      <c r="BP18" s="165"/>
      <c r="BQ18" s="165"/>
      <c r="BR18" s="165"/>
      <c r="BS18" s="165"/>
      <c r="BT18" s="166"/>
      <c r="BU18" s="196" t="s">
        <v>36</v>
      </c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8" t="s">
        <v>37</v>
      </c>
      <c r="DI18" s="198"/>
      <c r="DJ18" s="198"/>
      <c r="DK18" s="198"/>
      <c r="DL18" s="198"/>
      <c r="DM18" s="198"/>
      <c r="DN18" s="198"/>
      <c r="DO18" s="198"/>
      <c r="DP18" s="198"/>
      <c r="DQ18" s="198"/>
      <c r="DR18" s="198"/>
      <c r="DS18" s="198" t="s">
        <v>38</v>
      </c>
      <c r="DT18" s="198"/>
      <c r="DU18" s="198"/>
      <c r="DV18" s="198"/>
      <c r="DW18" s="198"/>
      <c r="DX18" s="198"/>
      <c r="DY18" s="198"/>
      <c r="DZ18" s="198"/>
      <c r="EA18" s="198"/>
      <c r="EB18" s="198"/>
      <c r="EC18" s="199"/>
      <c r="ED18" s="162">
        <f>AS18</f>
        <v>317</v>
      </c>
      <c r="EE18" s="163"/>
      <c r="EF18" s="163"/>
      <c r="EG18" s="163"/>
      <c r="EH18" s="163"/>
      <c r="EI18" s="163"/>
      <c r="EJ18" s="163"/>
      <c r="EK18" s="163"/>
      <c r="EL18" s="163"/>
      <c r="EM18" s="163"/>
      <c r="EN18" s="163"/>
      <c r="EO18" s="163">
        <f>TMP!K2/1000</f>
        <v>1.85</v>
      </c>
      <c r="EP18" s="163"/>
      <c r="EQ18" s="163"/>
      <c r="ER18" s="163"/>
      <c r="ES18" s="163"/>
      <c r="ET18" s="163"/>
      <c r="EU18" s="163"/>
      <c r="EV18" s="163"/>
      <c r="EW18" s="163"/>
      <c r="EX18" s="163"/>
      <c r="EY18" s="163"/>
      <c r="EZ18" s="163"/>
      <c r="FA18" s="163"/>
      <c r="FB18" s="163"/>
      <c r="FC18" s="164" t="s">
        <v>35</v>
      </c>
      <c r="FD18" s="165"/>
      <c r="FE18" s="165"/>
      <c r="FF18" s="165"/>
      <c r="FG18" s="165"/>
      <c r="FH18" s="165"/>
      <c r="FI18" s="165"/>
      <c r="FJ18" s="165"/>
      <c r="FK18" s="165"/>
      <c r="FL18" s="165"/>
      <c r="FM18" s="166"/>
      <c r="FN18" s="159" t="s">
        <v>35</v>
      </c>
      <c r="FO18" s="160"/>
      <c r="FP18" s="160"/>
      <c r="FQ18" s="160"/>
      <c r="FR18" s="160"/>
      <c r="FS18" s="160"/>
      <c r="FT18" s="160"/>
      <c r="FU18" s="160"/>
      <c r="FV18" s="160"/>
      <c r="FW18" s="160"/>
      <c r="FX18" s="160"/>
      <c r="FY18" s="160"/>
      <c r="FZ18" s="160"/>
      <c r="GA18" s="160"/>
      <c r="GB18" s="160"/>
      <c r="GC18" s="160"/>
      <c r="GD18" s="160"/>
      <c r="GE18" s="183"/>
    </row>
    <row r="19" spans="1:189" s="1" customFormat="1" ht="13.9" customHeight="1" thickBot="1" x14ac:dyDescent="0.25">
      <c r="A19" s="184" t="s">
        <v>39</v>
      </c>
      <c r="B19" s="173"/>
      <c r="C19" s="173"/>
      <c r="D19" s="173"/>
      <c r="E19" s="173"/>
      <c r="F19" s="173"/>
      <c r="G19" s="173"/>
      <c r="H19" s="173"/>
      <c r="I19" s="173"/>
      <c r="J19" s="173"/>
      <c r="K19" s="185"/>
      <c r="L19" s="172" t="s">
        <v>35</v>
      </c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/>
      <c r="AC19" s="173"/>
      <c r="AD19" s="173"/>
      <c r="AE19" s="173"/>
      <c r="AF19" s="173" t="s">
        <v>35</v>
      </c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  <c r="AR19" s="186"/>
      <c r="AS19" s="187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9" t="s">
        <v>35</v>
      </c>
      <c r="BF19" s="190"/>
      <c r="BG19" s="190"/>
      <c r="BH19" s="190"/>
      <c r="BI19" s="190"/>
      <c r="BJ19" s="190"/>
      <c r="BK19" s="190"/>
      <c r="BL19" s="190"/>
      <c r="BM19" s="190"/>
      <c r="BN19" s="190"/>
      <c r="BO19" s="190"/>
      <c r="BP19" s="190"/>
      <c r="BQ19" s="190"/>
      <c r="BR19" s="190"/>
      <c r="BS19" s="190"/>
      <c r="BT19" s="191"/>
      <c r="BU19" s="192"/>
      <c r="BV19" s="193"/>
      <c r="BW19" s="193"/>
      <c r="BX19" s="193"/>
      <c r="BY19" s="193"/>
      <c r="BZ19" s="193"/>
      <c r="CA19" s="193"/>
      <c r="CB19" s="193"/>
      <c r="CC19" s="193"/>
      <c r="CD19" s="193"/>
      <c r="CE19" s="193"/>
      <c r="CF19" s="193"/>
      <c r="CG19" s="193"/>
      <c r="CH19" s="193"/>
      <c r="CI19" s="193"/>
      <c r="CJ19" s="193"/>
      <c r="CK19" s="193"/>
      <c r="CL19" s="193"/>
      <c r="CM19" s="193"/>
      <c r="CN19" s="193"/>
      <c r="CO19" s="193"/>
      <c r="CP19" s="193"/>
      <c r="CQ19" s="193"/>
      <c r="CR19" s="193"/>
      <c r="CS19" s="193"/>
      <c r="CT19" s="193"/>
      <c r="CU19" s="193"/>
      <c r="CV19" s="193"/>
      <c r="CW19" s="193"/>
      <c r="CX19" s="193"/>
      <c r="CY19" s="193"/>
      <c r="CZ19" s="193"/>
      <c r="DA19" s="193"/>
      <c r="DB19" s="193"/>
      <c r="DC19" s="193"/>
      <c r="DD19" s="193"/>
      <c r="DE19" s="193"/>
      <c r="DF19" s="193"/>
      <c r="DG19" s="193"/>
      <c r="DH19" s="189" t="s">
        <v>37</v>
      </c>
      <c r="DI19" s="190"/>
      <c r="DJ19" s="190"/>
      <c r="DK19" s="190"/>
      <c r="DL19" s="190"/>
      <c r="DM19" s="190"/>
      <c r="DN19" s="190"/>
      <c r="DO19" s="190"/>
      <c r="DP19" s="190"/>
      <c r="DQ19" s="190"/>
      <c r="DR19" s="190"/>
      <c r="DS19" s="189" t="s">
        <v>40</v>
      </c>
      <c r="DT19" s="190"/>
      <c r="DU19" s="190"/>
      <c r="DV19" s="190"/>
      <c r="DW19" s="190"/>
      <c r="DX19" s="190"/>
      <c r="DY19" s="190"/>
      <c r="DZ19" s="190"/>
      <c r="EA19" s="190"/>
      <c r="EB19" s="190"/>
      <c r="EC19" s="194"/>
      <c r="ED19" s="195">
        <f>AS19</f>
        <v>0</v>
      </c>
      <c r="EE19" s="190"/>
      <c r="EF19" s="190"/>
      <c r="EG19" s="190"/>
      <c r="EH19" s="190"/>
      <c r="EI19" s="190"/>
      <c r="EJ19" s="190"/>
      <c r="EK19" s="190"/>
      <c r="EL19" s="190"/>
      <c r="EM19" s="190"/>
      <c r="EN19" s="190"/>
      <c r="EO19" s="167"/>
      <c r="EP19" s="168"/>
      <c r="EQ19" s="168"/>
      <c r="ER19" s="168"/>
      <c r="ES19" s="168"/>
      <c r="ET19" s="168"/>
      <c r="EU19" s="168"/>
      <c r="EV19" s="168"/>
      <c r="EW19" s="168"/>
      <c r="EX19" s="168"/>
      <c r="EY19" s="168"/>
      <c r="EZ19" s="168"/>
      <c r="FA19" s="168"/>
      <c r="FB19" s="168"/>
      <c r="FC19" s="169" t="s">
        <v>35</v>
      </c>
      <c r="FD19" s="170"/>
      <c r="FE19" s="170"/>
      <c r="FF19" s="170"/>
      <c r="FG19" s="170"/>
      <c r="FH19" s="170"/>
      <c r="FI19" s="170"/>
      <c r="FJ19" s="170"/>
      <c r="FK19" s="170"/>
      <c r="FL19" s="170"/>
      <c r="FM19" s="171"/>
      <c r="FN19" s="172" t="s">
        <v>35</v>
      </c>
      <c r="FO19" s="173"/>
      <c r="FP19" s="173"/>
      <c r="FQ19" s="173"/>
      <c r="FR19" s="173"/>
      <c r="FS19" s="173"/>
      <c r="FT19" s="173"/>
      <c r="FU19" s="173"/>
      <c r="FV19" s="173"/>
      <c r="FW19" s="173"/>
      <c r="FX19" s="173"/>
      <c r="FY19" s="173"/>
      <c r="FZ19" s="173"/>
      <c r="GA19" s="173"/>
      <c r="GB19" s="173"/>
      <c r="GC19" s="173"/>
      <c r="GD19" s="173"/>
      <c r="GE19" s="174"/>
    </row>
    <row r="20" spans="1:189" s="1" customFormat="1" ht="14.1" customHeight="1" thickTop="1" x14ac:dyDescent="0.2">
      <c r="A20" s="9" t="s">
        <v>41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10"/>
      <c r="AU20" s="10"/>
      <c r="AV20" s="11"/>
      <c r="AW20" s="12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4"/>
      <c r="BW20" s="2" t="s">
        <v>42</v>
      </c>
      <c r="CV20" s="176" t="s">
        <v>43</v>
      </c>
      <c r="CW20" s="176"/>
      <c r="CX20" s="176"/>
      <c r="CY20" s="176"/>
      <c r="CZ20" s="176"/>
      <c r="DA20" s="176"/>
      <c r="DB20" s="176"/>
      <c r="DC20" s="176"/>
      <c r="DD20" s="176"/>
      <c r="DE20" s="176"/>
      <c r="DF20" s="176"/>
      <c r="DG20" s="176"/>
      <c r="DH20" s="176"/>
      <c r="DI20" s="176"/>
      <c r="DJ20" s="176"/>
      <c r="DK20" s="176"/>
      <c r="DL20" s="176"/>
      <c r="DM20" s="176"/>
      <c r="DN20" s="176"/>
      <c r="DO20" s="176"/>
      <c r="DP20" s="176"/>
      <c r="DQ20" s="176"/>
      <c r="DR20" s="176"/>
      <c r="DS20" s="176"/>
      <c r="DT20" s="176"/>
      <c r="DU20" s="176"/>
      <c r="DV20" s="176"/>
      <c r="DW20" s="176"/>
      <c r="DX20" s="176"/>
      <c r="DY20" s="176"/>
      <c r="DZ20" s="176"/>
      <c r="EA20" s="176"/>
      <c r="EB20" s="176"/>
      <c r="EC20" s="176"/>
      <c r="ED20" s="176"/>
      <c r="EE20" s="176"/>
      <c r="EF20" s="176"/>
      <c r="EG20" s="176"/>
      <c r="EH20" s="176"/>
      <c r="EI20" s="176"/>
      <c r="EJ20" s="176"/>
      <c r="EK20" s="176"/>
      <c r="EL20" s="176"/>
      <c r="EO20" s="177" t="s">
        <v>44</v>
      </c>
      <c r="EP20" s="178"/>
      <c r="EQ20" s="178"/>
      <c r="ER20" s="178"/>
      <c r="ES20" s="178"/>
      <c r="ET20" s="178"/>
      <c r="EU20" s="178"/>
      <c r="EV20" s="178"/>
      <c r="EW20" s="178"/>
      <c r="EX20" s="178"/>
      <c r="EY20" s="178"/>
      <c r="EZ20" s="178"/>
      <c r="FA20" s="178"/>
      <c r="FB20" s="179"/>
      <c r="FC20" s="180" t="s">
        <v>35</v>
      </c>
      <c r="FD20" s="181"/>
      <c r="FE20" s="181"/>
      <c r="FF20" s="181"/>
      <c r="FG20" s="181"/>
      <c r="FH20" s="181"/>
      <c r="FI20" s="181"/>
      <c r="FJ20" s="181"/>
      <c r="FK20" s="181"/>
      <c r="FL20" s="181"/>
      <c r="FM20" s="182"/>
    </row>
    <row r="21" spans="1:189" s="1" customFormat="1" ht="12" customHeight="1" thickBot="1" x14ac:dyDescent="0.25">
      <c r="A21" s="2" t="s">
        <v>45</v>
      </c>
      <c r="K21" s="15"/>
      <c r="L21" s="15"/>
      <c r="M21" s="15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W21" s="2"/>
      <c r="EO21" s="206" t="s">
        <v>46</v>
      </c>
      <c r="EP21" s="207"/>
      <c r="EQ21" s="207"/>
      <c r="ER21" s="207"/>
      <c r="ES21" s="207"/>
      <c r="ET21" s="207"/>
      <c r="EU21" s="207"/>
      <c r="EV21" s="207"/>
      <c r="EW21" s="207"/>
      <c r="EX21" s="207"/>
      <c r="EY21" s="207"/>
      <c r="EZ21" s="207"/>
      <c r="FA21" s="207"/>
      <c r="FB21" s="208"/>
      <c r="FC21" s="222" t="s">
        <v>35</v>
      </c>
      <c r="FD21" s="213"/>
      <c r="FE21" s="213"/>
      <c r="FF21" s="213"/>
      <c r="FG21" s="213"/>
      <c r="FH21" s="213"/>
      <c r="FI21" s="213"/>
      <c r="FJ21" s="213"/>
      <c r="FK21" s="213"/>
      <c r="FL21" s="213"/>
      <c r="FM21" s="214"/>
    </row>
    <row r="22" spans="1:189" s="1" customFormat="1" ht="7.5" customHeight="1" thickTop="1" x14ac:dyDescent="0.2"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DS22" s="226">
        <f>(EO18+EO19)</f>
        <v>1.85</v>
      </c>
      <c r="DT22" s="227"/>
      <c r="DU22" s="227"/>
      <c r="DV22" s="227"/>
      <c r="DW22" s="227"/>
      <c r="DX22" s="227"/>
      <c r="DY22" s="227"/>
      <c r="DZ22" s="227"/>
      <c r="EA22" s="227"/>
      <c r="EB22" s="227"/>
      <c r="EC22" s="227"/>
      <c r="ED22" s="227"/>
      <c r="EE22" s="227"/>
      <c r="EF22" s="227"/>
      <c r="EG22" s="227"/>
      <c r="EH22" s="228"/>
      <c r="EO22" s="219"/>
      <c r="EP22" s="220"/>
      <c r="EQ22" s="220"/>
      <c r="ER22" s="220"/>
      <c r="ES22" s="220"/>
      <c r="ET22" s="220"/>
      <c r="EU22" s="220"/>
      <c r="EV22" s="220"/>
      <c r="EW22" s="220"/>
      <c r="EX22" s="220"/>
      <c r="EY22" s="220"/>
      <c r="EZ22" s="220"/>
      <c r="FA22" s="220"/>
      <c r="FB22" s="221"/>
      <c r="FC22" s="223"/>
      <c r="FD22" s="224"/>
      <c r="FE22" s="224"/>
      <c r="FF22" s="224"/>
      <c r="FG22" s="224"/>
      <c r="FH22" s="224"/>
      <c r="FI22" s="224"/>
      <c r="FJ22" s="224"/>
      <c r="FK22" s="224"/>
      <c r="FL22" s="224"/>
      <c r="FM22" s="225"/>
    </row>
    <row r="23" spans="1:189" s="1" customFormat="1" ht="10.5" customHeight="1" x14ac:dyDescent="0.2">
      <c r="A23" s="2" t="s">
        <v>47</v>
      </c>
      <c r="W23" s="232" t="s">
        <v>48</v>
      </c>
      <c r="X23" s="232"/>
      <c r="Y23" s="232"/>
      <c r="Z23" s="232"/>
      <c r="AA23" s="232"/>
      <c r="AB23" s="232"/>
      <c r="AC23" s="232"/>
      <c r="AD23" s="232"/>
      <c r="AE23" s="232"/>
      <c r="AF23" s="232"/>
      <c r="AG23" s="232"/>
      <c r="AH23" s="232"/>
      <c r="AI23" s="232"/>
      <c r="AJ23" s="232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Y23" s="9" t="s">
        <v>49</v>
      </c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233" t="str">
        <f>SUBSTITUTE(PROPER(INDEX(n_4,MID(TEXT((EO18+EO19)*1000,n0),1,1)+1)&amp;INDEX(n0x,MID(TEXT((EO18+EO19)*1000,n0),2,1)+1,MID(TEXT((EO18+EO19)*1000,n0),3,1)+1)&amp;IF(-MID(TEXT((EO18+EO19)*1000,n0),1,3),"миллиард"&amp;VLOOKUP(MID(TEXT((EO18+EO19)*1000,n0),3,1)*AND(MID(TEXT((EO18+EO19)*1000,n0),2,1)-1),мил,2),"")&amp;INDEX(n_4,MID(TEXT((EO18+EO19)*1000,n0),4,1)+1)&amp;INDEX(n0x,MID(TEXT((EO18+EO19)*1000,n0),5,1)+1,MID(TEXT((EO18+EO19)*1000,n0),6,1)+1)&amp;IF(-MID(TEXT((EO18+EO19)*1000,n0),4,3),"миллион"&amp;VLOOKUP(MID(TEXT((EO18+EO19)*1000,n0),6,1)*AND(MID(TEXT((EO18+EO19)*1000,n0),5,1)-1),мил,2),"")&amp;INDEX(n_4,MID(TEXT((EO18+EO19)*1000,n0),7,1)+1)&amp;INDEX(n1x,MID(TEXT((EO18+EO19)*1000,n0),8,1)+1,MID(TEXT((EO18+EO19)*1000,n0),9,1)+1)&amp;IF(-MID(TEXT((EO18+EO19)*1000,n0),7,3),VLOOKUP(MID(TEXT((EO18+EO19)*1000,n0),9,1)*AND(MID(TEXT((EO18+EO19)*1000,n0),8,1)-1),тыс,2),"")&amp;INDEX(n_4,MID(TEXT((EO18+EO19)*1000,n0),10,1)+1)&amp;INDEX(n0x,MID(TEXT((EO18+EO19)*1000,n0),11,1)+1,MID(TEXT((EO18+EO19)*1000,n0),12,1)+1)),"z"," ")&amp;IF(TRUNC(TEXT((EO18+EO19)*1000,n0)),"","Ноль ")</f>
        <v xml:space="preserve">Одна тысяча восемьсот пятьдесят </v>
      </c>
      <c r="BW23" s="233"/>
      <c r="BX23" s="233"/>
      <c r="BY23" s="233"/>
      <c r="BZ23" s="233"/>
      <c r="CA23" s="233"/>
      <c r="CB23" s="233"/>
      <c r="CC23" s="233"/>
      <c r="CD23" s="233"/>
      <c r="CE23" s="233"/>
      <c r="CF23" s="233"/>
      <c r="CG23" s="233"/>
      <c r="CH23" s="233"/>
      <c r="CI23" s="233"/>
      <c r="CJ23" s="233"/>
      <c r="CK23" s="233"/>
      <c r="CL23" s="233"/>
      <c r="CM23" s="233"/>
      <c r="CN23" s="233"/>
      <c r="CO23" s="233"/>
      <c r="CP23" s="233"/>
      <c r="CQ23" s="233"/>
      <c r="CR23" s="233"/>
      <c r="CS23" s="233"/>
      <c r="CT23" s="233"/>
      <c r="CU23" s="233"/>
      <c r="CV23" s="233"/>
      <c r="CW23" s="233"/>
      <c r="CX23" s="233"/>
      <c r="CY23" s="233"/>
      <c r="CZ23" s="233"/>
      <c r="DA23" s="233"/>
      <c r="DB23" s="233"/>
      <c r="DC23" s="233"/>
      <c r="DD23" s="233"/>
      <c r="DE23" s="233"/>
      <c r="DF23" s="233"/>
      <c r="DG23" s="233"/>
      <c r="DH23" s="233"/>
      <c r="DI23" s="233"/>
      <c r="DJ23" s="233"/>
      <c r="DK23" s="233"/>
      <c r="DL23" s="233"/>
      <c r="DM23" s="233"/>
      <c r="DN23" s="233"/>
      <c r="DO23" s="233"/>
      <c r="DP23" s="233"/>
      <c r="DS23" s="229"/>
      <c r="DT23" s="230"/>
      <c r="DU23" s="230"/>
      <c r="DV23" s="230"/>
      <c r="DW23" s="230"/>
      <c r="DX23" s="230"/>
      <c r="DY23" s="230"/>
      <c r="DZ23" s="230"/>
      <c r="EA23" s="230"/>
      <c r="EB23" s="230"/>
      <c r="EC23" s="230"/>
      <c r="ED23" s="230"/>
      <c r="EE23" s="230"/>
      <c r="EF23" s="230"/>
      <c r="EG23" s="230"/>
      <c r="EH23" s="231"/>
      <c r="EI23" s="218" t="s">
        <v>50</v>
      </c>
      <c r="EJ23" s="218"/>
      <c r="EK23" s="218"/>
      <c r="EO23" s="209"/>
      <c r="EP23" s="210"/>
      <c r="EQ23" s="210"/>
      <c r="ER23" s="210"/>
      <c r="ES23" s="210"/>
      <c r="ET23" s="210"/>
      <c r="EU23" s="210"/>
      <c r="EV23" s="210"/>
      <c r="EW23" s="210"/>
      <c r="EX23" s="210"/>
      <c r="EY23" s="210"/>
      <c r="EZ23" s="210"/>
      <c r="FA23" s="210"/>
      <c r="FB23" s="211"/>
      <c r="FC23" s="215"/>
      <c r="FD23" s="181"/>
      <c r="FE23" s="181"/>
      <c r="FF23" s="181"/>
      <c r="FG23" s="181"/>
      <c r="FH23" s="181"/>
      <c r="FI23" s="181"/>
      <c r="FJ23" s="181"/>
      <c r="FK23" s="181"/>
      <c r="FL23" s="181"/>
      <c r="FM23" s="182"/>
    </row>
    <row r="24" spans="1:189" s="1" customFormat="1" ht="7.5" customHeight="1" x14ac:dyDescent="0.2">
      <c r="W24" s="131" t="s">
        <v>51</v>
      </c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31" t="s">
        <v>51</v>
      </c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/>
      <c r="CK24" s="131"/>
      <c r="CL24" s="131"/>
      <c r="CM24" s="131"/>
      <c r="CN24" s="131"/>
      <c r="CO24" s="131"/>
      <c r="CP24" s="131"/>
      <c r="CQ24" s="131"/>
      <c r="CR24" s="131"/>
      <c r="CS24" s="131"/>
      <c r="CT24" s="131"/>
      <c r="CU24" s="131"/>
      <c r="CV24" s="131"/>
      <c r="CW24" s="131"/>
      <c r="CX24" s="131"/>
      <c r="CY24" s="131"/>
      <c r="CZ24" s="131"/>
      <c r="DA24" s="131"/>
      <c r="DB24" s="131"/>
      <c r="DC24" s="131"/>
      <c r="DD24" s="131"/>
      <c r="DE24" s="131"/>
      <c r="DF24" s="131"/>
      <c r="DG24" s="131"/>
      <c r="DH24" s="131"/>
      <c r="DI24" s="131"/>
      <c r="DJ24" s="131"/>
      <c r="DK24" s="131"/>
      <c r="DL24" s="131"/>
      <c r="DM24" s="131"/>
      <c r="DN24" s="131"/>
      <c r="DO24" s="131"/>
      <c r="DP24" s="131"/>
      <c r="DS24" s="200">
        <f>(EO18+EO19)</f>
        <v>1.85</v>
      </c>
      <c r="DT24" s="201"/>
      <c r="DU24" s="201"/>
      <c r="DV24" s="201"/>
      <c r="DW24" s="201"/>
      <c r="DX24" s="201"/>
      <c r="DY24" s="201"/>
      <c r="DZ24" s="201"/>
      <c r="EA24" s="201"/>
      <c r="EB24" s="201"/>
      <c r="EC24" s="201"/>
      <c r="ED24" s="201"/>
      <c r="EE24" s="201"/>
      <c r="EF24" s="201"/>
      <c r="EG24" s="201"/>
      <c r="EH24" s="202"/>
      <c r="EO24" s="206"/>
      <c r="EP24" s="207"/>
      <c r="EQ24" s="207"/>
      <c r="ER24" s="207"/>
      <c r="ES24" s="207"/>
      <c r="ET24" s="207"/>
      <c r="EU24" s="207"/>
      <c r="EV24" s="207"/>
      <c r="EW24" s="207"/>
      <c r="EX24" s="207"/>
      <c r="EY24" s="207"/>
      <c r="EZ24" s="207"/>
      <c r="FA24" s="207"/>
      <c r="FB24" s="208"/>
      <c r="FC24" s="212"/>
      <c r="FD24" s="213"/>
      <c r="FE24" s="213"/>
      <c r="FF24" s="213"/>
      <c r="FG24" s="213"/>
      <c r="FH24" s="213"/>
      <c r="FI24" s="213"/>
      <c r="FJ24" s="213"/>
      <c r="FK24" s="213"/>
      <c r="FL24" s="213"/>
      <c r="FM24" s="214"/>
    </row>
    <row r="25" spans="1:189" s="1" customFormat="1" ht="11.1" customHeight="1" thickBot="1" x14ac:dyDescent="0.25">
      <c r="A25" s="17" t="s">
        <v>52</v>
      </c>
      <c r="K25" s="18"/>
      <c r="L25" s="18"/>
      <c r="M25" s="19"/>
      <c r="N25" s="216" t="str">
        <f>SUBSTITUTE(PROPER(INDEX(n_4,MID(TEXT((AS18+AS19),n0),1,1)+1)&amp;INDEX(n0x,MID(TEXT((AS18+AS19),n0),2,1)+1,MID(TEXT((AS18+AS19),n0),3,1)+1)&amp;IF(-MID(TEXT((AS18+AS19),n0),1,3),"миллиард"&amp;VLOOKUP(MID(TEXT((AS18+AS19),n0),3,1)*AND(MID(TEXT((AS18+AS19),n0),2,1)-1),мил,2),"")&amp;INDEX(n_4,MID(TEXT((AS18+AS19),n0),4,1)+1)&amp;INDEX(n0x,MID(TEXT((AS18+AS19),n0),5,1)+1,MID(TEXT((AS18+AS19),n0),6,1)+1)&amp;IF(-MID(TEXT((AS18+AS19),n0),4,3),"миллион"&amp;VLOOKUP(MID(TEXT((AS18+AS19),n0),6,1)*AND(MID(TEXT((AS18+AS19),n0),5,1)-1),мил,2),"")&amp;INDEX(n_4,MID(TEXT((AS18+AS19),n0),7,1)+1)&amp;INDEX(n1x,MID(TEXT((AS18+AS19),n0),8,1)+1,MID(TEXT((AS18+AS19),n0),9,1)+1)&amp;IF(-MID(TEXT((AS18+AS19),n0),7,3),VLOOKUP(MID(TEXT((AS18+AS19),n0),9,1)*AND(MID(TEXT((AS18+AS19),n0),8,1)-1),тыс,2),"")&amp;INDEX(n_4,MID(TEXT((AS18+AS19),n0),10,1)+1)&amp;INDEX(n0x,MID(TEXT((AS18+AS19),n0),11,1)+1,MID(TEXT((AS18+AS19),n0),12,1)+1)),"z"," ")&amp;IF(TRUNC(TEXT((AS18+AS19),n0)),"","Ноль ")</f>
        <v xml:space="preserve">Триста семнадцать </v>
      </c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0"/>
      <c r="AX25" s="20"/>
      <c r="AY25" s="20" t="s">
        <v>53</v>
      </c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17" t="str">
        <f>SUBSTITUTE(PROPER(INDEX(n_4,MID(TEXT((EO18+EO19)*1000,n0),1,1)+1)&amp;INDEX(n0x,MID(TEXT((EO18+EO19)*1000,n0),2,1)+1,MID(TEXT((EO18+EO19)*1000,n0),3,1)+1)&amp;IF(-MID(TEXT((EO18+EO19)*1000,n0),1,3),"миллиард"&amp;VLOOKUP(MID(TEXT((EO18+EO19)*1000,n0),3,1)*AND(MID(TEXT((EO18+EO19)*1000,n0),2,1)-1),мил,2),"")&amp;INDEX(n_4,MID(TEXT((EO18+EO19)*1000,n0),4,1)+1)&amp;INDEX(n0x,MID(TEXT((EO18+EO19)*1000,n0),5,1)+1,MID(TEXT((EO18+EO19)*1000,n0),6,1)+1)&amp;IF(-MID(TEXT((EO18+EO19)*1000,n0),4,3),"миллион"&amp;VLOOKUP(MID(TEXT((EO18+EO19)*1000,n0),6,1)*AND(MID(TEXT((EO18+EO19)*1000,n0),5,1)-1),мил,2),"")&amp;INDEX(n_4,MID(TEXT((EO18+EO19)*1000,n0),7,1)+1)&amp;INDEX(n1x,MID(TEXT((EO18+EO19)*1000,n0),8,1)+1,MID(TEXT((EO18+EO19)*1000,n0),9,1)+1)&amp;IF(-MID(TEXT((EO18+EO19)*1000,n0),7,3),VLOOKUP(MID(TEXT((EO18+EO19)*1000,n0),9,1)*AND(MID(TEXT((EO18+EO19)*1000,n0),8,1)-1),тыс,2),"")&amp;INDEX(n_4,MID(TEXT((EO18+EO19)*1000,n0),10,1)+1)&amp;INDEX(n0x,MID(TEXT((EO18+EO19)*1000,n0),11,1)+1,MID(TEXT((EO18+EO19)*1000,n0),12,1)+1)),"z"," ")&amp;IF(TRUNC(TEXT((EO18+EO19)*1000,n0)),"","Ноль ")</f>
        <v xml:space="preserve">Одна тысяча восемьсот пятьдесят </v>
      </c>
      <c r="BW25" s="217"/>
      <c r="BX25" s="217"/>
      <c r="BY25" s="217"/>
      <c r="BZ25" s="217"/>
      <c r="CA25" s="217"/>
      <c r="CB25" s="217"/>
      <c r="CC25" s="217"/>
      <c r="CD25" s="217"/>
      <c r="CE25" s="217"/>
      <c r="CF25" s="217"/>
      <c r="CG25" s="217"/>
      <c r="CH25" s="217"/>
      <c r="CI25" s="217"/>
      <c r="CJ25" s="217"/>
      <c r="CK25" s="217"/>
      <c r="CL25" s="217"/>
      <c r="CM25" s="217"/>
      <c r="CN25" s="217"/>
      <c r="CO25" s="217"/>
      <c r="CP25" s="217"/>
      <c r="CQ25" s="217"/>
      <c r="CR25" s="217"/>
      <c r="CS25" s="217"/>
      <c r="CT25" s="217"/>
      <c r="CU25" s="217"/>
      <c r="CV25" s="217"/>
      <c r="CW25" s="217"/>
      <c r="CX25" s="217"/>
      <c r="CY25" s="217"/>
      <c r="CZ25" s="217"/>
      <c r="DA25" s="217"/>
      <c r="DB25" s="217"/>
      <c r="DC25" s="217"/>
      <c r="DD25" s="217"/>
      <c r="DE25" s="217"/>
      <c r="DF25" s="217"/>
      <c r="DG25" s="217"/>
      <c r="DH25" s="217"/>
      <c r="DI25" s="217"/>
      <c r="DJ25" s="217"/>
      <c r="DK25" s="217"/>
      <c r="DL25" s="217"/>
      <c r="DM25" s="217"/>
      <c r="DN25" s="217"/>
      <c r="DO25" s="217"/>
      <c r="DP25" s="217"/>
      <c r="DQ25" s="21"/>
      <c r="DS25" s="203"/>
      <c r="DT25" s="204"/>
      <c r="DU25" s="204"/>
      <c r="DV25" s="204"/>
      <c r="DW25" s="204"/>
      <c r="DX25" s="204"/>
      <c r="DY25" s="204"/>
      <c r="DZ25" s="204"/>
      <c r="EA25" s="204"/>
      <c r="EB25" s="204"/>
      <c r="EC25" s="204"/>
      <c r="ED25" s="204"/>
      <c r="EE25" s="204"/>
      <c r="EF25" s="204"/>
      <c r="EG25" s="204"/>
      <c r="EH25" s="205"/>
      <c r="EI25" s="218" t="s">
        <v>50</v>
      </c>
      <c r="EJ25" s="218"/>
      <c r="EK25" s="218"/>
      <c r="EO25" s="209"/>
      <c r="EP25" s="210"/>
      <c r="EQ25" s="210"/>
      <c r="ER25" s="210"/>
      <c r="ES25" s="210"/>
      <c r="ET25" s="210"/>
      <c r="EU25" s="210"/>
      <c r="EV25" s="210"/>
      <c r="EW25" s="210"/>
      <c r="EX25" s="210"/>
      <c r="EY25" s="210"/>
      <c r="EZ25" s="210"/>
      <c r="FA25" s="210"/>
      <c r="FB25" s="211"/>
      <c r="FC25" s="215"/>
      <c r="FD25" s="181"/>
      <c r="FE25" s="181"/>
      <c r="FF25" s="181"/>
      <c r="FG25" s="181"/>
      <c r="FH25" s="181"/>
      <c r="FI25" s="181"/>
      <c r="FJ25" s="181"/>
      <c r="FK25" s="181"/>
      <c r="FL25" s="181"/>
      <c r="FM25" s="182"/>
    </row>
    <row r="26" spans="1:189" s="1" customFormat="1" ht="14.1" customHeight="1" thickTop="1" thickBot="1" x14ac:dyDescent="0.25">
      <c r="M26" s="239" t="s">
        <v>51</v>
      </c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39"/>
      <c r="AD26" s="239"/>
      <c r="AE26" s="239"/>
      <c r="AF26" s="239"/>
      <c r="AG26" s="239"/>
      <c r="AH26" s="239"/>
      <c r="AI26" s="239"/>
      <c r="AJ26" s="239"/>
      <c r="AK26" s="239"/>
      <c r="AL26" s="239"/>
      <c r="AM26" s="239"/>
      <c r="AN26" s="239"/>
      <c r="AO26" s="239"/>
      <c r="AP26" s="239"/>
      <c r="AQ26" s="239"/>
      <c r="AR26" s="239"/>
      <c r="AS26" s="239"/>
      <c r="AT26" s="239"/>
      <c r="AU26" s="239"/>
      <c r="AV26" s="239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141" t="s">
        <v>51</v>
      </c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  <c r="CK26" s="141"/>
      <c r="CL26" s="141"/>
      <c r="CM26" s="141"/>
      <c r="CN26" s="141"/>
      <c r="CO26" s="141"/>
      <c r="CP26" s="141"/>
      <c r="CQ26" s="141"/>
      <c r="CR26" s="141"/>
      <c r="CS26" s="141"/>
      <c r="CT26" s="141"/>
      <c r="CU26" s="141"/>
      <c r="CV26" s="141"/>
      <c r="CW26" s="141"/>
      <c r="CX26" s="141"/>
      <c r="CY26" s="141"/>
      <c r="CZ26" s="141"/>
      <c r="DA26" s="141"/>
      <c r="DB26" s="141"/>
      <c r="DC26" s="141"/>
      <c r="DD26" s="141"/>
      <c r="DE26" s="141"/>
      <c r="DF26" s="141"/>
      <c r="DG26" s="141"/>
      <c r="DH26" s="141"/>
      <c r="DI26" s="141"/>
      <c r="DJ26" s="141"/>
      <c r="DK26" s="141"/>
      <c r="DL26" s="141"/>
      <c r="DM26" s="141"/>
      <c r="DN26" s="141"/>
      <c r="DO26" s="141"/>
      <c r="DP26" s="141"/>
      <c r="EO26" s="240" t="s">
        <v>54</v>
      </c>
      <c r="EP26" s="241"/>
      <c r="EQ26" s="241"/>
      <c r="ER26" s="241"/>
      <c r="ES26" s="241"/>
      <c r="ET26" s="241"/>
      <c r="EU26" s="241"/>
      <c r="EV26" s="241"/>
      <c r="EW26" s="241"/>
      <c r="EX26" s="241"/>
      <c r="EY26" s="241"/>
      <c r="EZ26" s="241"/>
      <c r="FA26" s="241"/>
      <c r="FB26" s="242"/>
      <c r="FC26" s="243" t="s">
        <v>35</v>
      </c>
      <c r="FD26" s="244"/>
      <c r="FE26" s="244"/>
      <c r="FF26" s="244"/>
      <c r="FG26" s="244"/>
      <c r="FH26" s="244"/>
      <c r="FI26" s="244"/>
      <c r="FJ26" s="244"/>
      <c r="FK26" s="244"/>
      <c r="FL26" s="244"/>
      <c r="FM26" s="24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</row>
    <row r="27" spans="1:189" s="1" customFormat="1" ht="12" customHeight="1" thickTop="1" x14ac:dyDescent="0.2">
      <c r="A27" s="2" t="s">
        <v>55</v>
      </c>
      <c r="AV27" s="246"/>
      <c r="AW27" s="246"/>
      <c r="AX27" s="246"/>
      <c r="AY27" s="246"/>
      <c r="AZ27" s="246"/>
      <c r="BA27" s="246"/>
      <c r="BB27" s="246"/>
      <c r="BC27" s="246"/>
      <c r="BD27" s="246"/>
      <c r="BE27" s="246"/>
      <c r="BF27" s="246"/>
      <c r="BG27" s="246"/>
      <c r="BH27" s="246"/>
      <c r="BI27" s="246"/>
      <c r="BJ27" s="246"/>
      <c r="BK27" s="246"/>
      <c r="BL27" s="246"/>
      <c r="BM27" s="246"/>
      <c r="BN27" s="246"/>
      <c r="BO27" s="246"/>
      <c r="BP27" s="246"/>
      <c r="BQ27" s="246"/>
      <c r="BR27" s="246"/>
      <c r="BS27" s="246"/>
      <c r="BT27" s="246"/>
      <c r="BU27" s="246"/>
      <c r="BW27" s="2" t="s">
        <v>56</v>
      </c>
      <c r="CE27" s="232"/>
      <c r="CF27" s="232"/>
      <c r="CG27" s="232"/>
      <c r="CH27" s="232"/>
      <c r="CI27" s="232"/>
      <c r="CJ27" s="232"/>
      <c r="CK27" s="232"/>
      <c r="CL27" s="232"/>
      <c r="CM27" s="232"/>
      <c r="CN27" s="232"/>
      <c r="CO27" s="232"/>
      <c r="CP27" s="232"/>
      <c r="CQ27" s="232"/>
      <c r="CR27" s="232"/>
      <c r="CS27" s="232"/>
      <c r="CT27" s="232"/>
      <c r="CU27" s="232"/>
      <c r="CV27" s="15"/>
      <c r="CW27" s="15"/>
      <c r="CX27" s="23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5"/>
      <c r="DQ27" s="25"/>
      <c r="DR27" s="25"/>
      <c r="DS27" s="25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7"/>
      <c r="EK27" s="28"/>
      <c r="EL27" s="28"/>
      <c r="EM27" s="28"/>
      <c r="EN27" s="28"/>
      <c r="EO27" s="28"/>
      <c r="EP27" s="26"/>
      <c r="EQ27" s="26"/>
      <c r="ER27" s="26"/>
      <c r="ES27" s="26"/>
      <c r="ET27" s="26"/>
      <c r="EU27" s="28"/>
      <c r="EV27" s="28"/>
      <c r="EW27" s="28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Q27" s="15"/>
      <c r="FR27" s="19"/>
      <c r="FS27" s="27"/>
      <c r="FT27" s="26"/>
      <c r="FU27" s="26"/>
      <c r="FV27" s="26"/>
      <c r="FW27" s="26"/>
      <c r="FX27" s="26"/>
      <c r="FY27" s="26"/>
      <c r="FZ27" s="26"/>
      <c r="GA27" s="27"/>
      <c r="GB27" s="27"/>
      <c r="GC27" s="27"/>
      <c r="GD27" s="27"/>
      <c r="GE27" s="18"/>
      <c r="GF27" s="21"/>
      <c r="GG27" s="21"/>
    </row>
    <row r="28" spans="1:189" s="1" customFormat="1" ht="10.15" customHeight="1" x14ac:dyDescent="0.2">
      <c r="AV28" s="141" t="s">
        <v>51</v>
      </c>
      <c r="AW28" s="141"/>
      <c r="AX28" s="141"/>
      <c r="AY28" s="141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X28" s="23"/>
      <c r="CY28" s="24" t="s">
        <v>57</v>
      </c>
      <c r="CZ28" s="24"/>
      <c r="DA28" s="24"/>
      <c r="DB28" s="24"/>
      <c r="DC28" s="24"/>
      <c r="DD28" s="24"/>
      <c r="DE28" s="24"/>
      <c r="DF28" s="24"/>
      <c r="DG28" s="24"/>
      <c r="DH28" s="24"/>
      <c r="DI28" s="29"/>
      <c r="DJ28" s="29"/>
      <c r="DK28" s="29"/>
      <c r="DL28" s="29"/>
      <c r="DM28" s="29"/>
      <c r="DN28" s="29"/>
      <c r="DO28" s="29"/>
      <c r="DP28" s="30"/>
      <c r="DQ28" s="30"/>
      <c r="DR28" s="30"/>
      <c r="DS28" s="30"/>
      <c r="DT28" s="26"/>
      <c r="DU28" s="234"/>
      <c r="DV28" s="234"/>
      <c r="DW28" s="234"/>
      <c r="DX28" s="234"/>
      <c r="DY28" s="234"/>
      <c r="DZ28" s="234"/>
      <c r="EA28" s="234"/>
      <c r="EB28" s="234"/>
      <c r="EC28" s="234"/>
      <c r="ED28" s="234"/>
      <c r="EE28" s="234"/>
      <c r="EF28" s="234"/>
      <c r="EG28" s="234"/>
      <c r="EH28" s="234"/>
      <c r="EI28" s="234"/>
      <c r="EJ28" s="31"/>
      <c r="EK28" s="31" t="s">
        <v>58</v>
      </c>
      <c r="EL28" s="31"/>
      <c r="EM28" s="31"/>
      <c r="EN28" s="31"/>
      <c r="EO28" s="31"/>
      <c r="EP28" s="234"/>
      <c r="EQ28" s="234"/>
      <c r="ER28" s="234"/>
      <c r="ES28" s="234"/>
      <c r="ET28" s="234"/>
      <c r="EU28" s="31" t="s">
        <v>59</v>
      </c>
      <c r="EV28" s="31"/>
      <c r="EW28" s="31"/>
      <c r="EX28" s="216"/>
      <c r="EY28" s="216"/>
      <c r="EZ28" s="216"/>
      <c r="FA28" s="216"/>
      <c r="FB28" s="216"/>
      <c r="FC28" s="216"/>
      <c r="FD28" s="216"/>
      <c r="FE28" s="216"/>
      <c r="FF28" s="216"/>
      <c r="FG28" s="216"/>
      <c r="FH28" s="216"/>
      <c r="FI28" s="216"/>
      <c r="FJ28" s="216"/>
      <c r="FK28" s="216"/>
      <c r="FL28" s="216"/>
      <c r="FM28" s="216"/>
      <c r="FN28" s="216"/>
      <c r="FO28" s="216"/>
      <c r="FP28" s="216"/>
      <c r="FQ28" s="32"/>
      <c r="FR28" s="33"/>
      <c r="FS28" s="33"/>
      <c r="FT28" s="32" t="s">
        <v>60</v>
      </c>
      <c r="FU28" s="32"/>
      <c r="FV28" s="32"/>
      <c r="FW28" s="32"/>
      <c r="FX28" s="15"/>
      <c r="FY28" s="33"/>
      <c r="FZ28" s="33"/>
      <c r="GA28" s="32"/>
      <c r="GB28" s="32"/>
      <c r="GC28" s="32"/>
      <c r="GD28" s="32"/>
      <c r="GE28" s="15"/>
    </row>
    <row r="29" spans="1:189" s="1" customFormat="1" ht="23.25" customHeight="1" x14ac:dyDescent="0.2">
      <c r="A29" s="2" t="s">
        <v>61</v>
      </c>
      <c r="S29" s="34"/>
      <c r="T29" s="34"/>
      <c r="U29" s="34"/>
      <c r="V29" s="34"/>
      <c r="W29" s="34"/>
      <c r="X29" s="34"/>
      <c r="Y29" s="34"/>
      <c r="Z29" s="34"/>
      <c r="AA29" s="34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235" t="s">
        <v>62</v>
      </c>
      <c r="BX29" s="235"/>
      <c r="BY29" s="235"/>
      <c r="BZ29" s="235"/>
      <c r="CA29" s="235"/>
      <c r="CB29" s="235"/>
      <c r="CC29" s="232"/>
      <c r="CD29" s="232"/>
      <c r="CE29" s="232"/>
      <c r="CF29" s="232"/>
      <c r="CG29" s="232"/>
      <c r="CH29" s="232"/>
      <c r="CI29" s="232"/>
      <c r="CJ29" s="232"/>
      <c r="CK29" s="232"/>
      <c r="CM29" s="32" t="s">
        <v>63</v>
      </c>
      <c r="CX29" s="23"/>
      <c r="CY29" s="2" t="s">
        <v>64</v>
      </c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32" t="s">
        <v>65</v>
      </c>
      <c r="DK29" s="232"/>
      <c r="DL29" s="232"/>
      <c r="DM29" s="232"/>
      <c r="DN29" s="232"/>
      <c r="DO29" s="232"/>
      <c r="DP29" s="232"/>
      <c r="DQ29" s="232"/>
      <c r="DR29" s="232"/>
      <c r="DS29" s="232"/>
      <c r="DT29" s="232"/>
      <c r="DU29" s="236"/>
      <c r="DV29" s="236"/>
      <c r="DW29" s="236"/>
      <c r="DX29" s="236"/>
      <c r="DY29" s="236"/>
      <c r="DZ29" s="236"/>
      <c r="EA29" s="236"/>
      <c r="EB29" s="236"/>
      <c r="EC29" s="236"/>
      <c r="ED29" s="236"/>
      <c r="EE29" s="236"/>
      <c r="EF29" s="236"/>
      <c r="EG29" s="236"/>
      <c r="EH29" s="236"/>
      <c r="EI29" s="236"/>
      <c r="EJ29" s="232"/>
      <c r="EK29" s="232"/>
      <c r="EL29" s="232"/>
      <c r="EM29" s="232"/>
      <c r="EN29" s="232"/>
      <c r="EO29" s="232"/>
      <c r="EP29" s="236"/>
      <c r="EQ29" s="236"/>
      <c r="ER29" s="236"/>
      <c r="ES29" s="236"/>
      <c r="ET29" s="236"/>
      <c r="EU29" s="232"/>
      <c r="EV29" s="232"/>
      <c r="EW29" s="232"/>
      <c r="EX29" s="236"/>
      <c r="EY29" s="236"/>
      <c r="EZ29" s="236"/>
      <c r="FA29" s="236"/>
      <c r="FB29" s="236"/>
      <c r="FC29" s="236"/>
      <c r="FD29" s="236"/>
      <c r="FE29" s="236"/>
      <c r="FF29" s="236"/>
      <c r="FG29" s="236"/>
      <c r="FH29" s="236"/>
      <c r="FI29" s="237"/>
      <c r="FJ29" s="237"/>
      <c r="FK29" s="237"/>
      <c r="FL29" s="237"/>
      <c r="FM29" s="237"/>
      <c r="FN29" s="237"/>
      <c r="FO29" s="237"/>
      <c r="FP29" s="237"/>
      <c r="FQ29" s="238"/>
      <c r="FR29" s="238"/>
      <c r="FS29" s="238"/>
      <c r="FT29" s="238"/>
      <c r="FU29" s="238"/>
      <c r="FV29" s="238"/>
      <c r="FW29" s="238"/>
      <c r="FX29" s="238"/>
      <c r="FY29" s="238"/>
      <c r="FZ29" s="238"/>
      <c r="GA29" s="238"/>
      <c r="GB29" s="238"/>
      <c r="GC29" s="238"/>
      <c r="GD29" s="238"/>
      <c r="GE29" s="238"/>
    </row>
    <row r="30" spans="1:189" s="1" customFormat="1" ht="7.5" customHeight="1" x14ac:dyDescent="0.2"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141" t="s">
        <v>51</v>
      </c>
      <c r="AS30" s="141"/>
      <c r="AT30" s="141"/>
      <c r="AU30" s="141"/>
      <c r="AV30" s="141"/>
      <c r="AW30" s="141"/>
      <c r="AX30" s="141"/>
      <c r="AY30" s="141"/>
      <c r="AZ30" s="141"/>
      <c r="BA30" s="247" t="s">
        <v>66</v>
      </c>
      <c r="BB30" s="247"/>
      <c r="BC30" s="247"/>
      <c r="BD30" s="247"/>
      <c r="BE30" s="247"/>
      <c r="BF30" s="247"/>
      <c r="BG30" s="247"/>
      <c r="BH30" s="247"/>
      <c r="BI30" s="247"/>
      <c r="BJ30" s="247"/>
      <c r="BK30" s="247"/>
      <c r="BL30" s="247"/>
      <c r="BM30" s="247"/>
      <c r="BN30" s="247"/>
      <c r="BO30" s="247"/>
      <c r="BP30" s="247"/>
      <c r="BQ30" s="247"/>
      <c r="BR30" s="247"/>
      <c r="BS30" s="247"/>
      <c r="BT30" s="247"/>
      <c r="BU30" s="247"/>
      <c r="BV30" s="247"/>
      <c r="BW30" s="247"/>
      <c r="CX30" s="23"/>
      <c r="CY30" s="252" t="s">
        <v>67</v>
      </c>
      <c r="CZ30" s="252"/>
      <c r="DA30" s="252"/>
      <c r="DB30" s="252"/>
      <c r="DC30" s="252"/>
      <c r="DD30" s="252"/>
      <c r="DE30" s="252"/>
      <c r="DF30" s="252"/>
      <c r="DG30" s="252"/>
      <c r="DH30" s="252"/>
      <c r="DI30" s="252"/>
      <c r="DJ30" s="252"/>
      <c r="DK30" s="252"/>
      <c r="DL30" s="252"/>
      <c r="DM30" s="252"/>
      <c r="DN30" s="252"/>
      <c r="DO30" s="252"/>
      <c r="DP30" s="252"/>
      <c r="DQ30" s="252"/>
      <c r="DR30" s="252"/>
      <c r="DS30" s="252"/>
      <c r="DT30" s="252"/>
      <c r="DU30" s="252"/>
      <c r="DV30" s="252"/>
      <c r="DW30" s="252"/>
      <c r="DX30" s="252"/>
      <c r="DY30" s="252"/>
      <c r="DZ30" s="252"/>
      <c r="EA30" s="252"/>
      <c r="EB30" s="253" t="s">
        <v>68</v>
      </c>
      <c r="EC30" s="253"/>
      <c r="ED30" s="253"/>
      <c r="EE30" s="253"/>
      <c r="EF30" s="253"/>
      <c r="EG30" s="253"/>
      <c r="EH30" s="253"/>
      <c r="EI30" s="253"/>
      <c r="EJ30" s="253"/>
      <c r="EK30" s="253"/>
      <c r="EL30" s="253"/>
      <c r="EM30" s="253"/>
      <c r="EN30" s="253"/>
      <c r="EO30" s="253"/>
      <c r="EP30" s="253"/>
      <c r="EQ30" s="253"/>
      <c r="ER30" s="253"/>
      <c r="EU30" s="254"/>
      <c r="EV30" s="254"/>
      <c r="EW30" s="254"/>
      <c r="EX30" s="254"/>
      <c r="EY30" s="254"/>
      <c r="EZ30" s="254"/>
      <c r="FA30" s="254"/>
      <c r="FB30" s="254"/>
      <c r="FC30" s="254"/>
      <c r="FD30" s="254"/>
      <c r="FE30" s="254"/>
      <c r="FF30" s="254"/>
      <c r="FI30" s="256" t="str">
        <f>CONCATENATE(TMP!E2 &amp; " " &amp; LEFT(TMP!F2,1)&amp;"."&amp;LEFT(TMP!G2,1)&amp;".")</f>
        <v>Жуков С.А.</v>
      </c>
      <c r="FJ30" s="256"/>
      <c r="FK30" s="256"/>
      <c r="FL30" s="256"/>
      <c r="FM30" s="256"/>
      <c r="FN30" s="256"/>
      <c r="FO30" s="256"/>
      <c r="FP30" s="256"/>
      <c r="FQ30" s="256"/>
      <c r="FR30" s="256"/>
      <c r="FS30" s="256"/>
      <c r="FT30" s="256"/>
      <c r="FU30" s="256"/>
      <c r="FV30" s="256"/>
      <c r="FW30" s="256"/>
      <c r="FX30" s="256"/>
      <c r="FY30" s="256"/>
      <c r="FZ30" s="256"/>
      <c r="GA30" s="256"/>
      <c r="GB30" s="256"/>
      <c r="GC30" s="256"/>
      <c r="GD30" s="256"/>
      <c r="GE30" s="256"/>
    </row>
    <row r="31" spans="1:189" s="1" customFormat="1" ht="7.5" customHeight="1" x14ac:dyDescent="0.2">
      <c r="A31" s="247" t="s">
        <v>69</v>
      </c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  <c r="U31" s="247"/>
      <c r="AR31" s="239"/>
      <c r="AS31" s="239"/>
      <c r="AT31" s="239"/>
      <c r="AU31" s="239"/>
      <c r="AV31" s="239"/>
      <c r="AW31" s="239"/>
      <c r="AX31" s="239"/>
      <c r="AY31" s="239"/>
      <c r="AZ31" s="239"/>
      <c r="BA31" s="247"/>
      <c r="BB31" s="247"/>
      <c r="BC31" s="247"/>
      <c r="BD31" s="247"/>
      <c r="BE31" s="247"/>
      <c r="BF31" s="247"/>
      <c r="BG31" s="247"/>
      <c r="BH31" s="247"/>
      <c r="BI31" s="247"/>
      <c r="BJ31" s="247"/>
      <c r="BK31" s="247"/>
      <c r="BL31" s="247"/>
      <c r="BM31" s="247"/>
      <c r="BN31" s="247"/>
      <c r="BO31" s="247"/>
      <c r="BP31" s="247"/>
      <c r="BQ31" s="247"/>
      <c r="BR31" s="247"/>
      <c r="BS31" s="247"/>
      <c r="BT31" s="247"/>
      <c r="BU31" s="247"/>
      <c r="BV31" s="247"/>
      <c r="BW31" s="247"/>
      <c r="CX31" s="23"/>
      <c r="CY31" s="252"/>
      <c r="CZ31" s="252"/>
      <c r="DA31" s="252"/>
      <c r="DB31" s="252"/>
      <c r="DC31" s="252"/>
      <c r="DD31" s="252"/>
      <c r="DE31" s="252"/>
      <c r="DF31" s="252"/>
      <c r="DG31" s="252"/>
      <c r="DH31" s="252"/>
      <c r="DI31" s="252"/>
      <c r="DJ31" s="252"/>
      <c r="DK31" s="252"/>
      <c r="DL31" s="252"/>
      <c r="DM31" s="252"/>
      <c r="DN31" s="252"/>
      <c r="DO31" s="252"/>
      <c r="DP31" s="252"/>
      <c r="DQ31" s="252"/>
      <c r="DR31" s="252"/>
      <c r="DS31" s="252"/>
      <c r="DT31" s="252"/>
      <c r="DU31" s="252"/>
      <c r="DV31" s="252"/>
      <c r="DW31" s="252"/>
      <c r="DX31" s="252"/>
      <c r="DY31" s="252"/>
      <c r="DZ31" s="252"/>
      <c r="EA31" s="252"/>
      <c r="EB31" s="216"/>
      <c r="EC31" s="216"/>
      <c r="ED31" s="216"/>
      <c r="EE31" s="216"/>
      <c r="EF31" s="216"/>
      <c r="EG31" s="216"/>
      <c r="EH31" s="216"/>
      <c r="EI31" s="216"/>
      <c r="EJ31" s="216"/>
      <c r="EK31" s="216"/>
      <c r="EL31" s="216"/>
      <c r="EM31" s="216"/>
      <c r="EN31" s="216"/>
      <c r="EO31" s="216"/>
      <c r="EP31" s="216"/>
      <c r="EQ31" s="216"/>
      <c r="ER31" s="216"/>
      <c r="EU31" s="255"/>
      <c r="EV31" s="255"/>
      <c r="EW31" s="255"/>
      <c r="EX31" s="255"/>
      <c r="EY31" s="255"/>
      <c r="EZ31" s="255"/>
      <c r="FA31" s="255"/>
      <c r="FB31" s="255"/>
      <c r="FC31" s="255"/>
      <c r="FD31" s="255"/>
      <c r="FE31" s="255"/>
      <c r="FF31" s="255"/>
      <c r="FI31" s="216"/>
      <c r="FJ31" s="216"/>
      <c r="FK31" s="216"/>
      <c r="FL31" s="216"/>
      <c r="FM31" s="216"/>
      <c r="FN31" s="216"/>
      <c r="FO31" s="216"/>
      <c r="FP31" s="216"/>
      <c r="FQ31" s="216"/>
      <c r="FR31" s="216"/>
      <c r="FS31" s="216"/>
      <c r="FT31" s="216"/>
      <c r="FU31" s="216"/>
      <c r="FV31" s="216"/>
      <c r="FW31" s="216"/>
      <c r="FX31" s="216"/>
      <c r="FY31" s="216"/>
      <c r="FZ31" s="216"/>
      <c r="GA31" s="216"/>
      <c r="GB31" s="216"/>
      <c r="GC31" s="216"/>
      <c r="GD31" s="216"/>
      <c r="GE31" s="216"/>
    </row>
    <row r="32" spans="1:189" s="1" customFormat="1" ht="8.25" customHeight="1" x14ac:dyDescent="0.2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BA32" s="247"/>
      <c r="BB32" s="247"/>
      <c r="BC32" s="247"/>
      <c r="BD32" s="247"/>
      <c r="BE32" s="247"/>
      <c r="BF32" s="247"/>
      <c r="BG32" s="247"/>
      <c r="BH32" s="247"/>
      <c r="BI32" s="247"/>
      <c r="BJ32" s="247"/>
      <c r="BK32" s="247"/>
      <c r="BL32" s="247"/>
      <c r="BM32" s="247"/>
      <c r="BN32" s="247"/>
      <c r="BO32" s="247"/>
      <c r="BP32" s="247"/>
      <c r="BQ32" s="247"/>
      <c r="BR32" s="247"/>
      <c r="BS32" s="247"/>
      <c r="BT32" s="247"/>
      <c r="BU32" s="247"/>
      <c r="BV32" s="247"/>
      <c r="BW32" s="247"/>
      <c r="CX32" s="23"/>
      <c r="EB32" s="131"/>
      <c r="EC32" s="131"/>
      <c r="ED32" s="131"/>
      <c r="EE32" s="131"/>
      <c r="EF32" s="131"/>
      <c r="EG32" s="131"/>
      <c r="EH32" s="131"/>
      <c r="EI32" s="131"/>
      <c r="EJ32" s="131"/>
      <c r="EK32" s="131"/>
      <c r="EL32" s="131"/>
      <c r="EM32" s="131"/>
      <c r="EN32" s="131"/>
      <c r="EO32" s="131"/>
      <c r="EP32" s="131"/>
      <c r="EQ32" s="131"/>
      <c r="ER32" s="131"/>
      <c r="EU32" s="131"/>
      <c r="EV32" s="131"/>
      <c r="EW32" s="131"/>
      <c r="EX32" s="131"/>
      <c r="EY32" s="131"/>
      <c r="EZ32" s="131"/>
      <c r="FA32" s="131"/>
      <c r="FB32" s="131"/>
      <c r="FC32" s="131"/>
      <c r="FD32" s="131"/>
      <c r="FE32" s="131"/>
      <c r="FF32" s="131"/>
      <c r="FI32" s="248"/>
      <c r="FJ32" s="248"/>
      <c r="FK32" s="248"/>
      <c r="FL32" s="248"/>
      <c r="FM32" s="248"/>
      <c r="FN32" s="248"/>
      <c r="FO32" s="248"/>
      <c r="FP32" s="248"/>
      <c r="FQ32" s="248"/>
      <c r="FR32" s="248"/>
      <c r="FS32" s="248"/>
      <c r="FT32" s="248"/>
      <c r="FU32" s="248"/>
      <c r="FV32" s="248"/>
      <c r="FW32" s="248"/>
      <c r="FX32" s="248"/>
      <c r="FY32" s="248"/>
      <c r="FZ32" s="248"/>
      <c r="GA32" s="248"/>
      <c r="GB32" s="248"/>
      <c r="GC32" s="248"/>
      <c r="GD32" s="248"/>
      <c r="GE32" s="248"/>
    </row>
    <row r="33" spans="1:190" s="1" customFormat="1" ht="13.9" customHeight="1" x14ac:dyDescent="0.2">
      <c r="A33" s="246" t="s">
        <v>70</v>
      </c>
      <c r="B33" s="246"/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37"/>
      <c r="Y33" s="249"/>
      <c r="Z33" s="249"/>
      <c r="AA33" s="249"/>
      <c r="AB33" s="249"/>
      <c r="AC33" s="249"/>
      <c r="AD33" s="249"/>
      <c r="AE33" s="249"/>
      <c r="AF33" s="37"/>
      <c r="AG33" s="250" t="s">
        <v>71</v>
      </c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AU33" s="250"/>
      <c r="AV33" s="250"/>
      <c r="AW33" s="250"/>
      <c r="AX33" s="250"/>
      <c r="BA33" s="38" t="s">
        <v>72</v>
      </c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Q33" s="251"/>
      <c r="BR33" s="251"/>
      <c r="BS33" s="251"/>
      <c r="BT33" s="251"/>
      <c r="BU33" s="251"/>
      <c r="BV33" s="251"/>
      <c r="BW33" s="251"/>
      <c r="BX33" s="251"/>
      <c r="BY33" s="251"/>
      <c r="BZ33" s="251"/>
      <c r="CC33" s="232" t="s">
        <v>73</v>
      </c>
      <c r="CD33" s="232"/>
      <c r="CE33" s="232"/>
      <c r="CF33" s="232"/>
      <c r="CG33" s="232"/>
      <c r="CH33" s="232"/>
      <c r="CI33" s="232"/>
      <c r="CJ33" s="232"/>
      <c r="CK33" s="232"/>
      <c r="CL33" s="232"/>
      <c r="CM33" s="232"/>
      <c r="CN33" s="232"/>
      <c r="CO33" s="232"/>
      <c r="CP33" s="232"/>
      <c r="CQ33" s="232"/>
      <c r="CR33" s="232"/>
      <c r="CS33" s="232"/>
      <c r="CT33" s="232"/>
      <c r="CU33" s="232"/>
      <c r="CX33" s="23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</row>
    <row r="34" spans="1:190" s="1" customFormat="1" ht="8.1" customHeight="1" x14ac:dyDescent="0.2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40"/>
      <c r="Y34" s="131"/>
      <c r="Z34" s="131"/>
      <c r="AA34" s="131"/>
      <c r="AB34" s="131"/>
      <c r="AC34" s="131"/>
      <c r="AD34" s="131"/>
      <c r="AE34" s="131"/>
      <c r="AF34" s="40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131"/>
      <c r="BR34" s="131"/>
      <c r="BS34" s="131"/>
      <c r="BT34" s="131"/>
      <c r="BU34" s="131"/>
      <c r="BV34" s="131"/>
      <c r="BW34" s="131"/>
      <c r="BX34" s="131"/>
      <c r="BY34" s="131"/>
      <c r="BZ34" s="131"/>
      <c r="CA34" s="41"/>
      <c r="CB34" s="41"/>
      <c r="CC34" s="131"/>
      <c r="CD34" s="131"/>
      <c r="CE34" s="131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X34" s="23"/>
      <c r="CY34" s="258" t="s">
        <v>74</v>
      </c>
      <c r="CZ34" s="258"/>
      <c r="DA34" s="258"/>
      <c r="DB34" s="258"/>
      <c r="DC34" s="258"/>
      <c r="DD34" s="258"/>
      <c r="DE34" s="258"/>
      <c r="DF34" s="258"/>
      <c r="DG34" s="258"/>
      <c r="DH34" s="258"/>
      <c r="DI34" s="258"/>
      <c r="DJ34" s="258"/>
      <c r="DK34" s="258"/>
      <c r="DL34" s="258"/>
      <c r="DM34" s="258"/>
      <c r="DN34" s="258"/>
      <c r="DO34" s="258"/>
      <c r="DP34" s="258"/>
      <c r="DQ34" s="258"/>
      <c r="DR34" s="258"/>
      <c r="DS34" s="258"/>
      <c r="DT34" s="258"/>
      <c r="DU34" s="258"/>
      <c r="DV34" s="258"/>
      <c r="DW34" s="258"/>
      <c r="DX34" s="258"/>
      <c r="DY34" s="258"/>
      <c r="DZ34" s="258"/>
      <c r="EA34" s="258"/>
      <c r="EB34" s="258"/>
      <c r="EC34" s="258"/>
      <c r="ED34" s="258"/>
      <c r="EE34" s="258"/>
      <c r="EF34" s="258"/>
      <c r="EG34" s="258"/>
      <c r="EH34" s="258"/>
      <c r="EI34" s="258"/>
      <c r="EJ34" s="258"/>
      <c r="EK34" s="258"/>
      <c r="EL34" s="258"/>
      <c r="EM34" s="258"/>
      <c r="EN34" s="258"/>
      <c r="EO34" s="258"/>
      <c r="EP34" s="258"/>
      <c r="EQ34" s="258"/>
      <c r="ER34" s="258"/>
      <c r="ES34" s="258"/>
      <c r="ET34" s="258"/>
      <c r="EU34" s="258"/>
      <c r="EV34" s="258"/>
      <c r="EW34" s="258"/>
      <c r="EX34" s="258"/>
      <c r="EY34" s="258"/>
      <c r="EZ34" s="258"/>
      <c r="FA34" s="258"/>
      <c r="FB34" s="258"/>
      <c r="FC34" s="258"/>
      <c r="FD34" s="258"/>
      <c r="FE34" s="258"/>
      <c r="FF34" s="258"/>
      <c r="FG34" s="258"/>
      <c r="FH34" s="258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</row>
    <row r="35" spans="1:190" s="1" customFormat="1" ht="6" customHeight="1" x14ac:dyDescent="0.2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CX35" s="23"/>
      <c r="CY35" s="258"/>
      <c r="CZ35" s="258"/>
      <c r="DA35" s="258"/>
      <c r="DB35" s="258"/>
      <c r="DC35" s="258"/>
      <c r="DD35" s="258"/>
      <c r="DE35" s="258"/>
      <c r="DF35" s="258"/>
      <c r="DG35" s="258"/>
      <c r="DH35" s="258"/>
      <c r="DI35" s="258"/>
      <c r="DJ35" s="258"/>
      <c r="DK35" s="258"/>
      <c r="DL35" s="258"/>
      <c r="DM35" s="258"/>
      <c r="DN35" s="258"/>
      <c r="DO35" s="258"/>
      <c r="DP35" s="258"/>
      <c r="DQ35" s="258"/>
      <c r="DR35" s="258"/>
      <c r="DS35" s="258"/>
      <c r="DT35" s="258"/>
      <c r="DU35" s="258"/>
      <c r="DV35" s="258"/>
      <c r="DW35" s="258"/>
      <c r="DX35" s="258"/>
      <c r="DY35" s="258"/>
      <c r="DZ35" s="258"/>
      <c r="EA35" s="258"/>
      <c r="EB35" s="258"/>
      <c r="EC35" s="258"/>
      <c r="ED35" s="258"/>
      <c r="EE35" s="258"/>
      <c r="EF35" s="258"/>
      <c r="EG35" s="258"/>
      <c r="EH35" s="258"/>
      <c r="EI35" s="258"/>
      <c r="EJ35" s="258"/>
      <c r="EK35" s="258"/>
      <c r="EL35" s="258"/>
      <c r="EM35" s="258"/>
      <c r="EN35" s="258"/>
      <c r="EO35" s="258"/>
      <c r="EP35" s="258"/>
      <c r="EQ35" s="258"/>
      <c r="ER35" s="258"/>
      <c r="ES35" s="258"/>
      <c r="ET35" s="258"/>
      <c r="EU35" s="258"/>
      <c r="EV35" s="258"/>
      <c r="EW35" s="258"/>
      <c r="EX35" s="258"/>
      <c r="EY35" s="258"/>
      <c r="EZ35" s="258"/>
      <c r="FA35" s="258"/>
      <c r="FB35" s="258"/>
      <c r="FC35" s="258"/>
      <c r="FD35" s="258"/>
      <c r="FE35" s="258"/>
      <c r="FF35" s="258"/>
      <c r="FG35" s="258"/>
      <c r="FH35" s="258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</row>
    <row r="36" spans="1:190" s="1" customFormat="1" ht="11.45" customHeight="1" x14ac:dyDescent="0.2">
      <c r="A36" s="42" t="s">
        <v>75</v>
      </c>
      <c r="AB36" s="250" t="s">
        <v>76</v>
      </c>
      <c r="AC36" s="250"/>
      <c r="AD36" s="250"/>
      <c r="AE36" s="250"/>
      <c r="AF36" s="250"/>
      <c r="AG36" s="250"/>
      <c r="AH36" s="250"/>
      <c r="AI36" s="250"/>
      <c r="AJ36" s="250"/>
      <c r="AK36" s="250"/>
      <c r="AL36" s="250"/>
      <c r="AM36" s="250"/>
      <c r="AN36" s="250"/>
      <c r="AO36" s="250"/>
      <c r="AP36" s="250"/>
      <c r="AQ36" s="250"/>
      <c r="AR36" s="250"/>
      <c r="AS36" s="250"/>
      <c r="AT36" s="250"/>
      <c r="AU36" s="250"/>
      <c r="AV36" s="250"/>
      <c r="AW36" s="250"/>
      <c r="AX36" s="250"/>
      <c r="AY36" s="250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R36" s="250" t="s">
        <v>77</v>
      </c>
      <c r="BS36" s="250"/>
      <c r="BT36" s="250"/>
      <c r="BU36" s="250"/>
      <c r="BV36" s="250"/>
      <c r="BW36" s="250"/>
      <c r="BX36" s="250"/>
      <c r="BY36" s="250"/>
      <c r="BZ36" s="250"/>
      <c r="CA36" s="250"/>
      <c r="CB36" s="250"/>
      <c r="CC36" s="250"/>
      <c r="CD36" s="250"/>
      <c r="CE36" s="250"/>
      <c r="CF36" s="250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X36" s="43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  <c r="DI36" s="257"/>
      <c r="DJ36" s="257"/>
      <c r="DK36" s="257"/>
      <c r="DL36" s="257"/>
      <c r="DM36" s="257"/>
      <c r="DN36" s="257"/>
      <c r="DO36" s="257"/>
      <c r="DP36" s="257"/>
      <c r="DQ36" s="257"/>
      <c r="DR36" s="257"/>
      <c r="DS36" s="257"/>
      <c r="DT36" s="257"/>
      <c r="DU36" s="257"/>
      <c r="DV36" s="257"/>
      <c r="DW36" s="257"/>
      <c r="DX36" s="257"/>
      <c r="DY36" s="257"/>
      <c r="DZ36" s="257"/>
      <c r="EA36" s="257"/>
      <c r="EB36" s="257"/>
      <c r="EC36" s="257"/>
      <c r="ED36" s="257"/>
      <c r="EE36" s="257"/>
      <c r="EF36" s="257"/>
      <c r="EG36" s="257"/>
      <c r="EH36" s="257"/>
      <c r="EI36" s="257"/>
      <c r="EJ36" s="257"/>
      <c r="EK36" s="257"/>
      <c r="EL36" s="257"/>
      <c r="EM36" s="257"/>
      <c r="EN36" s="257"/>
      <c r="EO36" s="257"/>
      <c r="EP36" s="257"/>
      <c r="EQ36" s="257"/>
      <c r="ER36" s="257"/>
      <c r="ES36" s="257"/>
      <c r="ET36" s="257"/>
      <c r="EU36" s="257"/>
      <c r="EV36" s="257"/>
      <c r="EW36" s="257"/>
      <c r="EX36" s="257"/>
      <c r="EY36" s="257"/>
      <c r="EZ36" s="257"/>
      <c r="FA36" s="257"/>
      <c r="FB36" s="257"/>
      <c r="FC36" s="257"/>
      <c r="FD36" s="257"/>
      <c r="FE36" s="257"/>
      <c r="FF36" s="257"/>
      <c r="FG36" s="257"/>
      <c r="FH36" s="257"/>
      <c r="FI36" s="257"/>
      <c r="FJ36" s="257"/>
      <c r="FK36" s="257"/>
      <c r="FL36" s="257"/>
      <c r="FM36" s="257"/>
      <c r="FN36" s="257"/>
      <c r="FO36" s="257"/>
      <c r="FP36" s="257"/>
      <c r="FQ36" s="257"/>
      <c r="FR36" s="257"/>
      <c r="FS36" s="257"/>
      <c r="FT36" s="257"/>
      <c r="FU36" s="257"/>
      <c r="FV36" s="257"/>
      <c r="FW36" s="257"/>
      <c r="FX36" s="257"/>
      <c r="FY36" s="257"/>
      <c r="FZ36" s="257"/>
      <c r="GA36" s="257"/>
      <c r="GB36" s="257"/>
      <c r="GC36" s="257"/>
      <c r="GD36" s="257"/>
      <c r="GE36" s="257"/>
    </row>
    <row r="37" spans="1:190" s="1" customFormat="1" ht="8.1" customHeight="1" x14ac:dyDescent="0.2"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41"/>
      <c r="BQ37" s="41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1"/>
      <c r="CH37" s="131"/>
      <c r="CI37" s="131"/>
      <c r="CJ37" s="131"/>
      <c r="CK37" s="131"/>
      <c r="CL37" s="131"/>
      <c r="CM37" s="131"/>
      <c r="CN37" s="131"/>
      <c r="CO37" s="131"/>
      <c r="CP37" s="131"/>
      <c r="CQ37" s="131"/>
      <c r="CX37" s="23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21"/>
      <c r="GE37" s="21"/>
    </row>
    <row r="38" spans="1:190" s="1" customFormat="1" ht="7.5" customHeight="1" x14ac:dyDescent="0.2"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R38" s="2"/>
      <c r="CS38" s="2"/>
      <c r="CX38" s="23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31" t="s">
        <v>78</v>
      </c>
      <c r="EE38" s="131"/>
      <c r="EF38" s="131"/>
      <c r="EG38" s="131"/>
      <c r="EH38" s="131"/>
      <c r="EI38" s="131"/>
      <c r="EJ38" s="131"/>
      <c r="EK38" s="131"/>
      <c r="EL38" s="131"/>
      <c r="EM38" s="131"/>
      <c r="EN38" s="131"/>
      <c r="EO38" s="131"/>
      <c r="EP38" s="131"/>
      <c r="EQ38" s="131"/>
      <c r="ER38" s="131"/>
      <c r="ES38" s="131"/>
      <c r="EV38" s="131" t="s">
        <v>79</v>
      </c>
      <c r="EW38" s="131"/>
      <c r="EX38" s="131"/>
      <c r="EY38" s="131"/>
      <c r="EZ38" s="131"/>
      <c r="FA38" s="131"/>
      <c r="FB38" s="131"/>
      <c r="FC38" s="131"/>
      <c r="FD38" s="131"/>
      <c r="FE38" s="131"/>
      <c r="FF38" s="131"/>
      <c r="FI38" s="131" t="s">
        <v>80</v>
      </c>
      <c r="FJ38" s="131"/>
      <c r="FK38" s="131"/>
      <c r="FL38" s="131"/>
      <c r="FM38" s="131"/>
      <c r="FN38" s="131"/>
      <c r="FO38" s="131"/>
      <c r="FP38" s="131"/>
      <c r="FQ38" s="131"/>
      <c r="FR38" s="131"/>
      <c r="FS38" s="131"/>
      <c r="FT38" s="131"/>
      <c r="FU38" s="131"/>
      <c r="FV38" s="131"/>
      <c r="FW38" s="131"/>
      <c r="FX38" s="131"/>
      <c r="FY38" s="131"/>
      <c r="FZ38" s="131"/>
      <c r="GA38" s="131"/>
      <c r="GB38" s="131"/>
      <c r="GC38" s="131"/>
      <c r="GD38" s="131"/>
      <c r="GE38" s="131"/>
    </row>
    <row r="39" spans="1:190" s="1" customFormat="1" ht="12" customHeight="1" x14ac:dyDescent="0.2">
      <c r="AS39" s="2" t="s">
        <v>81</v>
      </c>
      <c r="AT39" s="2"/>
      <c r="AU39" s="2"/>
      <c r="AV39" s="2"/>
      <c r="AW39" s="2"/>
      <c r="AX39" s="2"/>
      <c r="AY39" s="2"/>
      <c r="AZ39" s="2"/>
      <c r="BA39" s="2"/>
      <c r="BB39" s="2"/>
      <c r="BC39" s="269">
        <f ca="1">FM7</f>
        <v>43489</v>
      </c>
      <c r="BD39" s="269"/>
      <c r="BE39" s="269"/>
      <c r="BF39" s="269"/>
      <c r="BG39" s="269"/>
      <c r="BH39" s="269"/>
      <c r="BI39" s="269"/>
      <c r="BJ39" s="269"/>
      <c r="BK39" s="269"/>
      <c r="BL39" s="269"/>
      <c r="BM39" s="269"/>
      <c r="BN39" s="269"/>
      <c r="BO39" s="269"/>
      <c r="BP39" s="269"/>
      <c r="BQ39" s="269"/>
      <c r="BR39" s="269"/>
      <c r="BS39" s="269"/>
      <c r="BT39" s="269"/>
      <c r="BU39" s="269"/>
      <c r="BV39" s="269"/>
      <c r="BW39" s="269"/>
      <c r="BX39" s="269"/>
      <c r="BY39" s="269"/>
      <c r="BZ39" s="269"/>
      <c r="CA39" s="269"/>
      <c r="CB39" s="269"/>
      <c r="CC39" s="269"/>
      <c r="CD39" s="269"/>
      <c r="CE39" s="269"/>
      <c r="CF39" s="269"/>
      <c r="CG39" s="269"/>
      <c r="CH39" s="269"/>
      <c r="CI39" s="269"/>
      <c r="CJ39" s="269"/>
      <c r="CK39" s="269"/>
      <c r="CL39" s="269"/>
      <c r="CM39" s="269"/>
      <c r="CN39" s="269"/>
      <c r="CO39" s="269"/>
      <c r="CP39" s="269"/>
      <c r="CQ39" s="269"/>
      <c r="CR39" s="269"/>
      <c r="CX39" s="23"/>
      <c r="CY39" s="32" t="s">
        <v>82</v>
      </c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44"/>
      <c r="EE39" s="44"/>
      <c r="EF39" s="44"/>
      <c r="EG39" s="44"/>
      <c r="EH39" s="44"/>
      <c r="EI39" s="44"/>
      <c r="EJ39" s="44"/>
      <c r="EK39" s="44"/>
      <c r="EL39" s="44"/>
      <c r="EM39" s="44"/>
      <c r="EN39" s="44"/>
      <c r="EO39" s="44"/>
      <c r="EP39" s="44"/>
      <c r="EQ39" s="44"/>
      <c r="ER39" s="44"/>
      <c r="ES39" s="44"/>
      <c r="EV39" s="250"/>
      <c r="EW39" s="250"/>
      <c r="EX39" s="250"/>
      <c r="EY39" s="250"/>
      <c r="EZ39" s="250"/>
      <c r="FA39" s="250"/>
      <c r="FB39" s="250"/>
      <c r="FC39" s="250"/>
      <c r="FD39" s="250"/>
      <c r="FE39" s="250"/>
      <c r="FF39" s="250"/>
      <c r="FI39" s="250"/>
      <c r="FJ39" s="250"/>
      <c r="FK39" s="250"/>
      <c r="FL39" s="250"/>
      <c r="FM39" s="250"/>
      <c r="FN39" s="250"/>
      <c r="FO39" s="250"/>
      <c r="FP39" s="250"/>
      <c r="FQ39" s="250"/>
      <c r="FR39" s="250"/>
      <c r="FS39" s="250"/>
      <c r="FT39" s="250"/>
      <c r="FU39" s="250"/>
      <c r="FV39" s="250"/>
      <c r="FW39" s="250"/>
      <c r="FX39" s="250"/>
      <c r="FY39" s="250"/>
      <c r="FZ39" s="250"/>
      <c r="GA39" s="250"/>
      <c r="GB39" s="250"/>
      <c r="GC39" s="250"/>
      <c r="GD39" s="250"/>
      <c r="GE39" s="250"/>
    </row>
    <row r="40" spans="1:190" s="1" customFormat="1" ht="12" customHeight="1" x14ac:dyDescent="0.2"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45"/>
      <c r="BD40" s="45"/>
      <c r="BE40" s="45"/>
      <c r="BF40" s="45"/>
      <c r="BG40" s="45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5"/>
      <c r="CF40" s="45"/>
      <c r="CG40" s="45"/>
      <c r="CH40" s="45"/>
      <c r="CI40" s="45"/>
      <c r="CJ40" s="45"/>
      <c r="CK40" s="45"/>
      <c r="CL40" s="45"/>
      <c r="CM40" s="45"/>
      <c r="CN40" s="45"/>
      <c r="CO40" s="45"/>
      <c r="CP40" s="45"/>
      <c r="CQ40" s="45"/>
      <c r="CR40" s="45"/>
      <c r="CX40" s="15"/>
      <c r="CY40" s="32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46"/>
      <c r="EE40" s="46"/>
      <c r="EF40" s="46"/>
      <c r="EG40" s="46"/>
      <c r="EH40" s="46"/>
      <c r="EI40" s="46"/>
      <c r="EJ40" s="46"/>
      <c r="EK40" s="46"/>
      <c r="EL40" s="46"/>
      <c r="EM40" s="46"/>
      <c r="EN40" s="46"/>
      <c r="EO40" s="46"/>
      <c r="EP40" s="46"/>
      <c r="EQ40" s="46"/>
      <c r="ER40" s="46"/>
      <c r="ES40" s="46"/>
      <c r="EV40" s="46"/>
      <c r="EW40" s="46"/>
      <c r="EX40" s="46"/>
      <c r="EY40" s="46"/>
      <c r="EZ40" s="46"/>
      <c r="FA40" s="46"/>
      <c r="FB40" s="46"/>
      <c r="FC40" s="46"/>
      <c r="FD40" s="46"/>
      <c r="FE40" s="46"/>
      <c r="FF40" s="46"/>
      <c r="FI40" s="46"/>
      <c r="FJ40" s="46"/>
      <c r="FK40" s="46"/>
      <c r="FL40" s="46"/>
      <c r="FM40" s="46"/>
      <c r="FN40" s="46"/>
      <c r="FO40" s="46"/>
      <c r="FP40" s="46"/>
      <c r="FQ40" s="46"/>
      <c r="FR40" s="46"/>
      <c r="FS40" s="46"/>
      <c r="FT40" s="46"/>
      <c r="FU40" s="46"/>
      <c r="FV40" s="46"/>
      <c r="FW40" s="46"/>
      <c r="FX40" s="46"/>
      <c r="FY40" s="46"/>
      <c r="FZ40" s="46"/>
      <c r="GA40" s="46"/>
      <c r="GB40" s="46"/>
      <c r="GC40" s="46"/>
      <c r="GD40" s="46"/>
      <c r="GE40" s="46"/>
    </row>
    <row r="41" spans="1:190" ht="9.9499999999999993" customHeight="1" thickBot="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47" t="s">
        <v>83</v>
      </c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48"/>
      <c r="ER41" s="48"/>
      <c r="ES41" s="48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 t="s">
        <v>84</v>
      </c>
      <c r="GH41" s="49"/>
    </row>
    <row r="42" spans="1:190" ht="9.9499999999999993" customHeight="1" x14ac:dyDescent="0.2">
      <c r="A42" s="260"/>
      <c r="B42" s="260"/>
      <c r="C42" s="260"/>
      <c r="D42" s="260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37"/>
      <c r="AI42" s="37"/>
      <c r="AJ42" s="37"/>
      <c r="AK42" s="37"/>
      <c r="AL42" s="37"/>
      <c r="AM42" s="37"/>
      <c r="AN42" s="37"/>
      <c r="AO42" s="37"/>
      <c r="AP42" s="261"/>
      <c r="AQ42" s="261"/>
      <c r="AR42" s="261"/>
      <c r="AS42" s="261"/>
      <c r="AT42" s="261"/>
      <c r="AU42" s="261"/>
      <c r="AV42" s="261"/>
      <c r="AW42" s="261"/>
      <c r="AX42" s="261"/>
      <c r="AY42" s="261"/>
      <c r="AZ42" s="261"/>
      <c r="BA42" s="261"/>
      <c r="BB42" s="261"/>
      <c r="BC42" s="261"/>
      <c r="BD42" s="37"/>
      <c r="BE42" s="37"/>
      <c r="BF42" s="37"/>
      <c r="BG42" s="37"/>
      <c r="BH42" s="37"/>
      <c r="BI42" s="261"/>
      <c r="BJ42" s="261"/>
      <c r="BK42" s="261"/>
      <c r="BL42" s="261"/>
      <c r="BM42" s="261"/>
      <c r="BN42" s="261"/>
      <c r="BO42" s="261"/>
      <c r="BP42" s="261"/>
      <c r="BQ42" s="261"/>
      <c r="BR42" s="261"/>
      <c r="BS42" s="261"/>
      <c r="BT42" s="261"/>
      <c r="BU42" s="261"/>
      <c r="BV42" s="261"/>
      <c r="BW42" s="3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51"/>
      <c r="ET42" s="51"/>
      <c r="EU42" s="51"/>
      <c r="EV42" s="51"/>
      <c r="EW42" s="51"/>
      <c r="EX42" s="51"/>
      <c r="EY42" s="51"/>
      <c r="EZ42" s="51"/>
      <c r="FA42" s="51"/>
      <c r="FB42" s="51"/>
      <c r="FC42" s="51"/>
      <c r="FD42" s="51"/>
      <c r="FE42" s="51"/>
      <c r="FF42" s="51"/>
      <c r="FG42" s="51"/>
      <c r="FH42" s="51"/>
      <c r="FI42" s="51"/>
      <c r="FJ42" s="51"/>
      <c r="FK42" s="51"/>
      <c r="FL42" s="51"/>
      <c r="FM42" s="51"/>
      <c r="FN42" s="51"/>
      <c r="FO42" s="51"/>
      <c r="FP42" s="262">
        <f ca="1">FM6</f>
        <v>1394</v>
      </c>
      <c r="FQ42" s="263"/>
      <c r="FR42" s="263"/>
      <c r="FS42" s="263"/>
      <c r="FT42" s="263"/>
      <c r="FU42" s="263"/>
      <c r="FV42" s="263"/>
      <c r="FW42" s="263"/>
      <c r="FX42" s="263"/>
      <c r="FY42" s="263"/>
      <c r="FZ42" s="263"/>
      <c r="GA42" s="263"/>
      <c r="GB42" s="263"/>
      <c r="GC42" s="263"/>
      <c r="GD42" s="263"/>
      <c r="GE42" s="263"/>
      <c r="GF42" s="263"/>
      <c r="GG42" s="263"/>
      <c r="GH42" s="264"/>
    </row>
    <row r="43" spans="1:190" ht="9.9499999999999993" customHeight="1" x14ac:dyDescent="0.2">
      <c r="A43" s="37" t="s">
        <v>85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268">
        <f ca="1">FM7+1</f>
        <v>43490</v>
      </c>
      <c r="W43" s="268"/>
      <c r="X43" s="268"/>
      <c r="Y43" s="268"/>
      <c r="Z43" s="268"/>
      <c r="AA43" s="268"/>
      <c r="AB43" s="268"/>
      <c r="AC43" s="268"/>
      <c r="AD43" s="268"/>
      <c r="AE43" s="268"/>
      <c r="AF43" s="268"/>
      <c r="AG43" s="268"/>
      <c r="AH43" s="268"/>
      <c r="AI43" s="268"/>
      <c r="AJ43" s="268"/>
      <c r="AK43" s="268"/>
      <c r="AL43" s="268"/>
      <c r="AM43" s="268"/>
      <c r="AN43" s="268"/>
      <c r="AO43" s="268"/>
      <c r="AP43" s="268"/>
      <c r="AQ43" s="268"/>
      <c r="AR43" s="268"/>
      <c r="AS43" s="268"/>
      <c r="AT43" s="268"/>
      <c r="AU43" s="268"/>
      <c r="AV43" s="268"/>
      <c r="AW43" s="268"/>
      <c r="AX43" s="268"/>
      <c r="AY43" s="268"/>
      <c r="AZ43" s="268"/>
      <c r="BA43" s="268"/>
      <c r="BB43" s="268"/>
      <c r="BC43" s="268"/>
      <c r="BD43" s="268"/>
      <c r="BE43" s="268"/>
      <c r="BF43" s="268"/>
      <c r="BG43" s="268"/>
      <c r="BH43" s="268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52" t="s">
        <v>86</v>
      </c>
      <c r="FO43" s="37"/>
      <c r="FP43" s="265"/>
      <c r="FQ43" s="266"/>
      <c r="FR43" s="266"/>
      <c r="FS43" s="266"/>
      <c r="FT43" s="266"/>
      <c r="FU43" s="266"/>
      <c r="FV43" s="266"/>
      <c r="FW43" s="266"/>
      <c r="FX43" s="266"/>
      <c r="FY43" s="266"/>
      <c r="FZ43" s="266"/>
      <c r="GA43" s="266"/>
      <c r="GB43" s="266"/>
      <c r="GC43" s="266"/>
      <c r="GD43" s="266"/>
      <c r="GE43" s="266"/>
      <c r="GF43" s="266"/>
      <c r="GG43" s="266"/>
      <c r="GH43" s="267"/>
    </row>
    <row r="44" spans="1:190" ht="9.9499999999999993" customHeight="1" x14ac:dyDescent="0.2">
      <c r="A44" s="270" t="s">
        <v>87</v>
      </c>
      <c r="B44" s="270"/>
      <c r="C44" s="270"/>
      <c r="D44" s="270"/>
      <c r="E44" s="270"/>
      <c r="F44" s="270"/>
      <c r="G44" s="270"/>
      <c r="H44" s="270"/>
      <c r="I44" s="270"/>
      <c r="J44" s="270"/>
      <c r="K44" s="270"/>
      <c r="L44" s="270"/>
      <c r="M44" s="270"/>
      <c r="N44" s="271" t="s">
        <v>88</v>
      </c>
      <c r="O44" s="271"/>
      <c r="P44" s="271"/>
      <c r="Q44" s="271"/>
      <c r="R44" s="271"/>
      <c r="S44" s="271"/>
      <c r="T44" s="271"/>
      <c r="U44" s="271"/>
      <c r="V44" s="271"/>
      <c r="W44" s="271"/>
      <c r="X44" s="271"/>
      <c r="Y44" s="271"/>
      <c r="Z44" s="271"/>
      <c r="AA44" s="271"/>
      <c r="AB44" s="271"/>
      <c r="AC44" s="271"/>
      <c r="AD44" s="271"/>
      <c r="AE44" s="271"/>
      <c r="AF44" s="271"/>
      <c r="AG44" s="271"/>
      <c r="AH44" s="271"/>
      <c r="AI44" s="271"/>
      <c r="AJ44" s="271"/>
      <c r="AK44" s="271"/>
      <c r="AL44" s="271"/>
      <c r="AM44" s="271"/>
      <c r="AN44" s="271"/>
      <c r="AO44" s="271"/>
      <c r="AP44" s="271"/>
      <c r="AQ44" s="271"/>
      <c r="AR44" s="271"/>
      <c r="AS44" s="271"/>
      <c r="AT44" s="271"/>
      <c r="AU44" s="271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  <c r="CA44" s="271"/>
      <c r="CB44" s="37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4"/>
      <c r="CN44" s="54"/>
      <c r="CO44" s="272" t="str">
        <f>TMP!H2</f>
        <v>ФОРД</v>
      </c>
      <c r="CP44" s="272"/>
      <c r="CQ44" s="272"/>
      <c r="CR44" s="272"/>
      <c r="CS44" s="272"/>
      <c r="CT44" s="272"/>
      <c r="CU44" s="272"/>
      <c r="CV44" s="272"/>
      <c r="CW44" s="272"/>
      <c r="CX44" s="272"/>
      <c r="CY44" s="272"/>
      <c r="CZ44" s="272"/>
      <c r="DA44" s="272"/>
      <c r="DB44" s="272"/>
      <c r="DC44" s="272"/>
      <c r="DD44" s="272"/>
      <c r="DE44" s="272"/>
      <c r="DF44" s="272"/>
      <c r="DG44" s="55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7"/>
      <c r="EM44" s="57"/>
      <c r="EN44" s="274" t="str">
        <f>TMP!I2</f>
        <v>А 935 ЕН 77</v>
      </c>
      <c r="EO44" s="274"/>
      <c r="EP44" s="274"/>
      <c r="EQ44" s="274"/>
      <c r="ER44" s="274"/>
      <c r="ES44" s="274"/>
      <c r="ET44" s="274"/>
      <c r="EU44" s="274"/>
      <c r="EV44" s="274"/>
      <c r="EW44" s="274"/>
      <c r="EX44" s="274"/>
      <c r="EY44" s="274"/>
      <c r="EZ44" s="274"/>
      <c r="FA44" s="274"/>
      <c r="FB44" s="276" t="s">
        <v>89</v>
      </c>
      <c r="FC44" s="276"/>
      <c r="FD44" s="276"/>
      <c r="FE44" s="276"/>
      <c r="FF44" s="276"/>
      <c r="FG44" s="276"/>
      <c r="FH44" s="276"/>
      <c r="FI44" s="276"/>
      <c r="FJ44" s="276"/>
      <c r="FK44" s="276"/>
      <c r="FL44" s="276"/>
      <c r="FM44" s="276"/>
      <c r="FN44" s="276"/>
      <c r="FO44" s="37"/>
      <c r="FP44" s="277"/>
      <c r="FQ44" s="278"/>
      <c r="FR44" s="278"/>
      <c r="FS44" s="278"/>
      <c r="FT44" s="278"/>
      <c r="FU44" s="278"/>
      <c r="FV44" s="278"/>
      <c r="FW44" s="278"/>
      <c r="FX44" s="278"/>
      <c r="FY44" s="278"/>
      <c r="FZ44" s="278"/>
      <c r="GA44" s="278"/>
      <c r="GB44" s="278"/>
      <c r="GC44" s="278"/>
      <c r="GD44" s="278"/>
      <c r="GE44" s="278"/>
      <c r="GF44" s="278"/>
      <c r="GG44" s="278"/>
      <c r="GH44" s="279"/>
    </row>
    <row r="45" spans="1:190" ht="9.9499999999999993" customHeight="1" x14ac:dyDescent="0.2">
      <c r="A45" s="270"/>
      <c r="B45" s="270"/>
      <c r="C45" s="27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  <c r="Y45" s="271"/>
      <c r="Z45" s="271"/>
      <c r="AA45" s="271"/>
      <c r="AB45" s="271"/>
      <c r="AC45" s="271"/>
      <c r="AD45" s="271"/>
      <c r="AE45" s="271"/>
      <c r="AF45" s="271"/>
      <c r="AG45" s="271"/>
      <c r="AH45" s="271"/>
      <c r="AI45" s="271"/>
      <c r="AJ45" s="271"/>
      <c r="AK45" s="271"/>
      <c r="AL45" s="271"/>
      <c r="AM45" s="271"/>
      <c r="AN45" s="271"/>
      <c r="AO45" s="271"/>
      <c r="AP45" s="271"/>
      <c r="AQ45" s="271"/>
      <c r="AR45" s="271"/>
      <c r="AS45" s="271"/>
      <c r="AT45" s="271"/>
      <c r="AU45" s="271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  <c r="CA45" s="271"/>
      <c r="CB45" s="53" t="s">
        <v>90</v>
      </c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273"/>
      <c r="CP45" s="273"/>
      <c r="CQ45" s="273"/>
      <c r="CR45" s="273"/>
      <c r="CS45" s="273"/>
      <c r="CT45" s="273"/>
      <c r="CU45" s="273"/>
      <c r="CV45" s="273"/>
      <c r="CW45" s="273"/>
      <c r="CX45" s="273"/>
      <c r="CY45" s="273"/>
      <c r="CZ45" s="273"/>
      <c r="DA45" s="273"/>
      <c r="DB45" s="273"/>
      <c r="DC45" s="273"/>
      <c r="DD45" s="273"/>
      <c r="DE45" s="273"/>
      <c r="DF45" s="273"/>
      <c r="DG45" s="58" t="s">
        <v>91</v>
      </c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275"/>
      <c r="EO45" s="275"/>
      <c r="EP45" s="275"/>
      <c r="EQ45" s="275"/>
      <c r="ER45" s="275"/>
      <c r="ES45" s="275"/>
      <c r="ET45" s="275"/>
      <c r="EU45" s="275"/>
      <c r="EV45" s="275"/>
      <c r="EW45" s="275"/>
      <c r="EX45" s="275"/>
      <c r="EY45" s="275"/>
      <c r="EZ45" s="275"/>
      <c r="FA45" s="275"/>
      <c r="FB45" s="283" t="s">
        <v>92</v>
      </c>
      <c r="FC45" s="283"/>
      <c r="FD45" s="283"/>
      <c r="FE45" s="283"/>
      <c r="FF45" s="283"/>
      <c r="FG45" s="283"/>
      <c r="FH45" s="283"/>
      <c r="FI45" s="283"/>
      <c r="FJ45" s="283"/>
      <c r="FK45" s="283"/>
      <c r="FL45" s="283"/>
      <c r="FM45" s="283"/>
      <c r="FN45" s="283"/>
      <c r="FO45" s="37"/>
      <c r="FP45" s="280"/>
      <c r="FQ45" s="281"/>
      <c r="FR45" s="281"/>
      <c r="FS45" s="281"/>
      <c r="FT45" s="281"/>
      <c r="FU45" s="281"/>
      <c r="FV45" s="281"/>
      <c r="FW45" s="281"/>
      <c r="FX45" s="281"/>
      <c r="FY45" s="281"/>
      <c r="FZ45" s="281"/>
      <c r="GA45" s="281"/>
      <c r="GB45" s="281"/>
      <c r="GC45" s="281"/>
      <c r="GD45" s="281"/>
      <c r="GE45" s="281"/>
      <c r="GF45" s="281"/>
      <c r="GG45" s="281"/>
      <c r="GH45" s="282"/>
    </row>
    <row r="46" spans="1:190" ht="5.0999999999999996" customHeight="1" x14ac:dyDescent="0.2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284"/>
      <c r="O46" s="284"/>
      <c r="P46" s="284"/>
      <c r="Q46" s="284"/>
      <c r="R46" s="284"/>
      <c r="S46" s="284"/>
      <c r="T46" s="284"/>
      <c r="U46" s="284"/>
      <c r="V46" s="284"/>
      <c r="W46" s="284"/>
      <c r="X46" s="284"/>
      <c r="Y46" s="284"/>
      <c r="Z46" s="284"/>
      <c r="AA46" s="284"/>
      <c r="AB46" s="284"/>
      <c r="AC46" s="284"/>
      <c r="AD46" s="284"/>
      <c r="AE46" s="284"/>
      <c r="AF46" s="284"/>
      <c r="AG46" s="284"/>
      <c r="AH46" s="284"/>
      <c r="AI46" s="284"/>
      <c r="AJ46" s="284"/>
      <c r="AK46" s="284"/>
      <c r="AL46" s="284"/>
      <c r="AM46" s="284"/>
      <c r="AN46" s="284"/>
      <c r="AO46" s="284"/>
      <c r="AP46" s="284"/>
      <c r="AQ46" s="284"/>
      <c r="AR46" s="284"/>
      <c r="AS46" s="284"/>
      <c r="AT46" s="284"/>
      <c r="AU46" s="284"/>
      <c r="AV46" s="284"/>
      <c r="AW46" s="284"/>
      <c r="AX46" s="284"/>
      <c r="AY46" s="284"/>
      <c r="AZ46" s="284"/>
      <c r="BA46" s="284"/>
      <c r="BB46" s="284"/>
      <c r="BC46" s="284"/>
      <c r="BD46" s="284"/>
      <c r="BE46" s="284"/>
      <c r="BF46" s="284"/>
      <c r="BG46" s="284"/>
      <c r="BH46" s="284"/>
      <c r="BI46" s="284"/>
      <c r="BJ46" s="284"/>
      <c r="BK46" s="284"/>
      <c r="BL46" s="284"/>
      <c r="BM46" s="284"/>
      <c r="BN46" s="284"/>
      <c r="BO46" s="284"/>
      <c r="BP46" s="284"/>
      <c r="BQ46" s="284"/>
      <c r="BR46" s="284"/>
      <c r="BS46" s="284"/>
      <c r="BT46" s="284"/>
      <c r="BU46" s="284"/>
      <c r="BV46" s="284"/>
      <c r="BW46" s="284"/>
      <c r="BX46" s="284"/>
      <c r="BY46" s="284"/>
      <c r="BZ46" s="284"/>
      <c r="CA46" s="284"/>
      <c r="CB46" s="60"/>
      <c r="CC46" s="60"/>
      <c r="CD46" s="60"/>
      <c r="CE46" s="60"/>
      <c r="CF46" s="60"/>
      <c r="CG46" s="60"/>
      <c r="CH46" s="61"/>
      <c r="CI46" s="61"/>
      <c r="CJ46" s="61"/>
      <c r="CK46" s="61"/>
      <c r="CL46" s="61"/>
      <c r="CM46" s="61"/>
      <c r="CN46" s="59"/>
      <c r="CO46" s="285"/>
      <c r="CP46" s="285"/>
      <c r="CQ46" s="285"/>
      <c r="CR46" s="285"/>
      <c r="CS46" s="285"/>
      <c r="CT46" s="285"/>
      <c r="CU46" s="285"/>
      <c r="CV46" s="285"/>
      <c r="CW46" s="285"/>
      <c r="CX46" s="285"/>
      <c r="CY46" s="285"/>
      <c r="CZ46" s="285"/>
      <c r="DA46" s="285"/>
      <c r="DB46" s="285"/>
      <c r="DC46" s="285"/>
      <c r="DD46" s="285"/>
      <c r="DE46" s="285"/>
      <c r="DF46" s="285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59"/>
      <c r="DU46" s="63"/>
      <c r="DV46" s="63"/>
      <c r="DW46" s="63"/>
      <c r="DX46" s="63"/>
      <c r="DY46" s="63"/>
      <c r="DZ46" s="63"/>
      <c r="EA46" s="63"/>
      <c r="EB46" s="63"/>
      <c r="EC46" s="63"/>
      <c r="ED46" s="63"/>
      <c r="EE46" s="63"/>
      <c r="EF46" s="63"/>
      <c r="EG46" s="63"/>
      <c r="EH46" s="63"/>
      <c r="EI46" s="63"/>
      <c r="EJ46" s="63"/>
      <c r="EK46" s="63"/>
      <c r="EL46" s="63"/>
      <c r="EM46" s="63"/>
      <c r="EN46" s="63"/>
      <c r="EO46" s="63"/>
      <c r="EP46" s="63"/>
      <c r="EQ46" s="63"/>
      <c r="ER46" s="63"/>
      <c r="ES46" s="63"/>
      <c r="ET46" s="63"/>
      <c r="EU46" s="63"/>
      <c r="EV46" s="63"/>
      <c r="EW46" s="63"/>
      <c r="EX46" s="59"/>
      <c r="EY46" s="59"/>
      <c r="EZ46" s="59"/>
      <c r="FA46" s="59"/>
      <c r="FB46" s="283"/>
      <c r="FC46" s="283"/>
      <c r="FD46" s="283"/>
      <c r="FE46" s="283"/>
      <c r="FF46" s="283"/>
      <c r="FG46" s="283"/>
      <c r="FH46" s="283"/>
      <c r="FI46" s="283"/>
      <c r="FJ46" s="283"/>
      <c r="FK46" s="283"/>
      <c r="FL46" s="283"/>
      <c r="FM46" s="283"/>
      <c r="FN46" s="283"/>
      <c r="FO46" s="59"/>
      <c r="FP46" s="286"/>
      <c r="FQ46" s="261"/>
      <c r="FR46" s="261"/>
      <c r="FS46" s="261"/>
      <c r="FT46" s="261"/>
      <c r="FU46" s="261"/>
      <c r="FV46" s="261"/>
      <c r="FW46" s="261"/>
      <c r="FX46" s="261"/>
      <c r="FY46" s="261"/>
      <c r="FZ46" s="261"/>
      <c r="GA46" s="261"/>
      <c r="GB46" s="261"/>
      <c r="GC46" s="261"/>
      <c r="GD46" s="261"/>
      <c r="GE46" s="261"/>
      <c r="GF46" s="261"/>
      <c r="GG46" s="261"/>
      <c r="GH46" s="287"/>
    </row>
    <row r="47" spans="1:190" ht="9.9499999999999993" customHeight="1" x14ac:dyDescent="0.2">
      <c r="A47" s="37" t="s">
        <v>93</v>
      </c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259" t="s">
        <v>94</v>
      </c>
      <c r="Y47" s="259"/>
      <c r="Z47" s="259"/>
      <c r="AA47" s="259"/>
      <c r="AB47" s="259"/>
      <c r="AC47" s="259"/>
      <c r="AD47" s="259"/>
      <c r="AE47" s="259"/>
      <c r="AF47" s="259"/>
      <c r="AG47" s="259"/>
      <c r="AH47" s="259"/>
      <c r="AI47" s="259"/>
      <c r="AJ47" s="259"/>
      <c r="AK47" s="259"/>
      <c r="AL47" s="259"/>
      <c r="AM47" s="259"/>
      <c r="AN47" s="259"/>
      <c r="AO47" s="259"/>
      <c r="AP47" s="259"/>
      <c r="AQ47" s="259"/>
      <c r="AR47" s="259"/>
      <c r="AS47" s="259"/>
      <c r="AT47" s="259"/>
      <c r="AU47" s="259"/>
      <c r="AV47" s="259"/>
      <c r="AW47" s="259"/>
      <c r="AX47" s="259"/>
      <c r="AY47" s="259"/>
      <c r="AZ47" s="259"/>
      <c r="BA47" s="259"/>
      <c r="BB47" s="259"/>
      <c r="BC47" s="259"/>
      <c r="BD47" s="259"/>
      <c r="BE47" s="259"/>
      <c r="BF47" s="259"/>
      <c r="BG47" s="259"/>
      <c r="BH47" s="259"/>
      <c r="BI47" s="259"/>
      <c r="BJ47" s="259"/>
      <c r="BK47" s="259"/>
      <c r="BL47" s="259"/>
      <c r="BM47" s="259"/>
      <c r="BN47" s="259"/>
      <c r="BO47" s="259"/>
      <c r="BP47" s="259"/>
      <c r="BQ47" s="259"/>
      <c r="BR47" s="259"/>
      <c r="BS47" s="259"/>
      <c r="BT47" s="259"/>
      <c r="BU47" s="259"/>
      <c r="BV47" s="259"/>
      <c r="BW47" s="259"/>
      <c r="BX47" s="259"/>
      <c r="BY47" s="259"/>
      <c r="BZ47" s="259"/>
      <c r="CA47" s="259"/>
      <c r="CB47" s="259"/>
      <c r="CC47" s="259"/>
      <c r="CD47" s="259"/>
      <c r="CE47" s="259"/>
      <c r="CF47" s="259"/>
      <c r="CG47" s="259"/>
      <c r="CH47" s="259"/>
      <c r="CI47" s="259"/>
      <c r="CJ47" s="259"/>
      <c r="CK47" s="259"/>
      <c r="CL47" s="259"/>
      <c r="CM47" s="259"/>
      <c r="CN47" s="259"/>
      <c r="CO47" s="259"/>
      <c r="CP47" s="259"/>
      <c r="CQ47" s="259"/>
      <c r="CR47" s="259"/>
      <c r="CS47" s="259"/>
      <c r="CT47" s="259"/>
      <c r="CU47" s="259"/>
      <c r="CV47" s="259"/>
      <c r="CW47" s="259"/>
      <c r="CX47" s="259"/>
      <c r="CY47" s="259"/>
      <c r="CZ47" s="259"/>
      <c r="DA47" s="259"/>
      <c r="DB47" s="259"/>
      <c r="DC47" s="259"/>
      <c r="DD47" s="259"/>
      <c r="DE47" s="259"/>
      <c r="DF47" s="259"/>
      <c r="DG47" s="259"/>
      <c r="DH47" s="259"/>
      <c r="DI47" s="259"/>
      <c r="DJ47" s="259"/>
      <c r="DK47" s="259"/>
      <c r="DL47" s="259"/>
      <c r="DM47" s="259"/>
      <c r="DN47" s="259"/>
      <c r="DO47" s="259"/>
      <c r="DP47" s="259"/>
      <c r="DQ47" s="259"/>
      <c r="DR47" s="259"/>
      <c r="DS47" s="259"/>
      <c r="DT47" s="259"/>
      <c r="DU47" s="259"/>
      <c r="DV47" s="259"/>
      <c r="DW47" s="259"/>
      <c r="DX47" s="259"/>
      <c r="DY47" s="259"/>
      <c r="DZ47" s="259"/>
      <c r="EA47" s="259"/>
      <c r="EB47" s="259"/>
      <c r="EC47" s="259"/>
      <c r="ED47" s="259"/>
      <c r="EE47" s="259"/>
      <c r="EF47" s="259"/>
      <c r="EG47" s="259"/>
      <c r="EH47" s="259"/>
      <c r="EI47" s="259"/>
      <c r="EJ47" s="259"/>
      <c r="EK47" s="259"/>
      <c r="EL47" s="259"/>
      <c r="EM47" s="259"/>
      <c r="EN47" s="259"/>
      <c r="EO47" s="259"/>
      <c r="EP47" s="259"/>
      <c r="EQ47" s="259"/>
      <c r="ER47" s="259"/>
      <c r="ES47" s="259"/>
      <c r="ET47" s="259"/>
      <c r="EU47" s="259"/>
      <c r="EV47" s="259"/>
      <c r="EW47" s="259"/>
      <c r="EX47" s="259"/>
      <c r="EY47" s="259"/>
      <c r="EZ47" s="259"/>
      <c r="FA47" s="259"/>
      <c r="FB47" s="259"/>
      <c r="FC47" s="259"/>
      <c r="FD47" s="259"/>
      <c r="FE47" s="259"/>
      <c r="FF47" s="259"/>
      <c r="FG47" s="259"/>
      <c r="FH47" s="259"/>
      <c r="FI47" s="259"/>
      <c r="FJ47" s="259"/>
      <c r="FK47" s="259"/>
      <c r="FL47" s="259"/>
      <c r="FM47" s="259"/>
      <c r="FN47" s="64"/>
      <c r="FO47" s="65"/>
      <c r="FP47" s="288"/>
      <c r="FQ47" s="289"/>
      <c r="FR47" s="289"/>
      <c r="FS47" s="289"/>
      <c r="FT47" s="289"/>
      <c r="FU47" s="289"/>
      <c r="FV47" s="289"/>
      <c r="FW47" s="289"/>
      <c r="FX47" s="289"/>
      <c r="FY47" s="289"/>
      <c r="FZ47" s="289"/>
      <c r="GA47" s="289"/>
      <c r="GB47" s="289"/>
      <c r="GC47" s="289"/>
      <c r="GD47" s="289"/>
      <c r="GE47" s="289"/>
      <c r="GF47" s="289"/>
      <c r="GG47" s="289"/>
      <c r="GH47" s="290"/>
    </row>
    <row r="48" spans="1:190" ht="5.0999999999999996" customHeight="1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291" t="str">
        <f>CONCATENATE(TMP!E2&amp; " "&amp;TMP!F2&amp; " "&amp;TMP!G2)</f>
        <v>Жуков Сергей Алексеевич</v>
      </c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/>
      <c r="BQ48" s="291"/>
      <c r="BR48" s="291"/>
      <c r="BS48" s="291"/>
      <c r="BT48" s="291"/>
      <c r="BU48" s="291"/>
      <c r="BV48" s="291"/>
      <c r="BW48" s="291"/>
      <c r="BX48" s="291"/>
      <c r="BY48" s="291"/>
      <c r="BZ48" s="291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253" t="str">
        <f>TMP!J2</f>
        <v>50 34 398537</v>
      </c>
      <c r="CV48" s="253"/>
      <c r="CW48" s="253"/>
      <c r="CX48" s="253"/>
      <c r="CY48" s="253"/>
      <c r="CZ48" s="253"/>
      <c r="DA48" s="253"/>
      <c r="DB48" s="253"/>
      <c r="DC48" s="253"/>
      <c r="DD48" s="253"/>
      <c r="DE48" s="253"/>
      <c r="DF48" s="253"/>
      <c r="DG48" s="253"/>
      <c r="DH48" s="253"/>
      <c r="DI48" s="253"/>
      <c r="DJ48" s="253"/>
      <c r="DK48" s="253"/>
      <c r="DL48" s="253"/>
      <c r="DM48" s="253"/>
      <c r="DN48" s="253"/>
      <c r="DO48" s="253"/>
      <c r="DP48" s="253"/>
      <c r="DQ48" s="253"/>
      <c r="DR48" s="253"/>
      <c r="DS48" s="253"/>
      <c r="DT48" s="253"/>
      <c r="DU48" s="253"/>
      <c r="DV48" s="253"/>
      <c r="DW48" s="253"/>
      <c r="DX48" s="253"/>
      <c r="DY48" s="253"/>
      <c r="DZ48" s="253"/>
      <c r="EA48" s="253"/>
      <c r="EB48" s="253"/>
      <c r="EC48" s="253"/>
      <c r="ED48" s="253"/>
      <c r="EE48" s="253"/>
      <c r="EF48" s="253"/>
      <c r="EG48" s="253"/>
      <c r="EH48" s="253"/>
      <c r="EI48" s="253"/>
      <c r="EJ48" s="253"/>
      <c r="EK48" s="253"/>
      <c r="EL48" s="253"/>
      <c r="EM48" s="253"/>
      <c r="EN48" s="253"/>
      <c r="EO48" s="253"/>
      <c r="EP48" s="253"/>
      <c r="EQ48" s="253"/>
      <c r="ER48" s="253"/>
      <c r="ES48" s="253"/>
      <c r="ET48" s="253"/>
      <c r="EU48" s="253"/>
      <c r="EV48" s="253"/>
      <c r="EW48" s="253"/>
      <c r="EX48" s="253"/>
      <c r="EY48" s="253"/>
      <c r="EZ48" s="253"/>
      <c r="FA48" s="253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37"/>
      <c r="FO48" s="37"/>
      <c r="FP48" s="292" t="s">
        <v>35</v>
      </c>
      <c r="FQ48" s="293"/>
      <c r="FR48" s="293"/>
      <c r="FS48" s="293"/>
      <c r="FT48" s="293"/>
      <c r="FU48" s="293"/>
      <c r="FV48" s="293"/>
      <c r="FW48" s="293"/>
      <c r="FX48" s="293"/>
      <c r="FY48" s="293"/>
      <c r="FZ48" s="293"/>
      <c r="GA48" s="293"/>
      <c r="GB48" s="293"/>
      <c r="GC48" s="293"/>
      <c r="GD48" s="293"/>
      <c r="GE48" s="293"/>
      <c r="GF48" s="293"/>
      <c r="GG48" s="293"/>
      <c r="GH48" s="294"/>
    </row>
    <row r="49" spans="1:190" ht="9.9499999999999993" customHeight="1" x14ac:dyDescent="0.2">
      <c r="A49" s="37" t="s">
        <v>95</v>
      </c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67" t="s">
        <v>96</v>
      </c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  <c r="DL49" s="216"/>
      <c r="DM49" s="216"/>
      <c r="DN49" s="216"/>
      <c r="DO49" s="216"/>
      <c r="DP49" s="216"/>
      <c r="DQ49" s="216"/>
      <c r="DR49" s="216"/>
      <c r="DS49" s="216"/>
      <c r="DT49" s="216"/>
      <c r="DU49" s="216"/>
      <c r="DV49" s="216"/>
      <c r="DW49" s="216"/>
      <c r="DX49" s="216"/>
      <c r="DY49" s="216"/>
      <c r="DZ49" s="216"/>
      <c r="EA49" s="216"/>
      <c r="EB49" s="216"/>
      <c r="EC49" s="216"/>
      <c r="ED49" s="216"/>
      <c r="EE49" s="216"/>
      <c r="EF49" s="216"/>
      <c r="EG49" s="216"/>
      <c r="EH49" s="216"/>
      <c r="EI49" s="216"/>
      <c r="EJ49" s="216"/>
      <c r="EK49" s="216"/>
      <c r="EL49" s="216"/>
      <c r="EM49" s="216"/>
      <c r="EN49" s="216"/>
      <c r="EO49" s="216"/>
      <c r="EP49" s="216"/>
      <c r="EQ49" s="216"/>
      <c r="ER49" s="216"/>
      <c r="ES49" s="216"/>
      <c r="ET49" s="216"/>
      <c r="EU49" s="216"/>
      <c r="EV49" s="216"/>
      <c r="EW49" s="216"/>
      <c r="EX49" s="216"/>
      <c r="EY49" s="216"/>
      <c r="EZ49" s="216"/>
      <c r="FA49" s="216"/>
      <c r="FB49" s="68"/>
      <c r="FC49" s="68"/>
      <c r="FD49" s="68"/>
      <c r="FE49" s="68"/>
      <c r="FF49" s="68"/>
      <c r="FG49" s="68"/>
      <c r="FH49" s="68"/>
      <c r="FI49" s="68"/>
      <c r="FJ49" s="68"/>
      <c r="FK49" s="68"/>
      <c r="FL49" s="37"/>
      <c r="FM49" s="37"/>
      <c r="FN49" s="37"/>
      <c r="FO49" s="37"/>
      <c r="FP49" s="300"/>
      <c r="FQ49" s="301"/>
      <c r="FR49" s="301"/>
      <c r="FS49" s="301"/>
      <c r="FT49" s="301"/>
      <c r="FU49" s="301"/>
      <c r="FV49" s="301"/>
      <c r="FW49" s="301"/>
      <c r="FX49" s="301"/>
      <c r="FY49" s="301"/>
      <c r="FZ49" s="301"/>
      <c r="GA49" s="301"/>
      <c r="GB49" s="301"/>
      <c r="GC49" s="301"/>
      <c r="GD49" s="301"/>
      <c r="GE49" s="301"/>
      <c r="GF49" s="301"/>
      <c r="GG49" s="301"/>
      <c r="GH49" s="302"/>
    </row>
    <row r="50" spans="1:190" ht="5.0999999999999996" customHeight="1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299"/>
      <c r="M50" s="299"/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  <c r="AF50" s="299"/>
      <c r="AG50" s="299"/>
      <c r="AH50" s="299"/>
      <c r="AI50" s="299"/>
      <c r="AJ50" s="299"/>
      <c r="AK50" s="299"/>
      <c r="AL50" s="299"/>
      <c r="AM50" s="299"/>
      <c r="AN50" s="299"/>
      <c r="AO50" s="299"/>
      <c r="AP50" s="299"/>
      <c r="AQ50" s="299"/>
      <c r="AR50" s="299"/>
      <c r="AS50" s="299"/>
      <c r="AT50" s="299"/>
      <c r="AU50" s="299"/>
      <c r="AV50" s="299"/>
      <c r="AW50" s="299"/>
      <c r="AX50" s="299"/>
      <c r="AY50" s="299"/>
      <c r="AZ50" s="299"/>
      <c r="BA50" s="299"/>
      <c r="BB50" s="299"/>
      <c r="BC50" s="299"/>
      <c r="BD50" s="299"/>
      <c r="BE50" s="299"/>
      <c r="BF50" s="299"/>
      <c r="BG50" s="299"/>
      <c r="BH50" s="299"/>
      <c r="BI50" s="299"/>
      <c r="BJ50" s="299"/>
      <c r="BK50" s="299"/>
      <c r="BL50" s="299"/>
      <c r="BM50" s="299"/>
      <c r="BN50" s="299"/>
      <c r="BO50" s="299"/>
      <c r="BP50" s="299"/>
      <c r="BQ50" s="299"/>
      <c r="BR50" s="299"/>
      <c r="BS50" s="299"/>
      <c r="BT50" s="299"/>
      <c r="BU50" s="299"/>
      <c r="BV50" s="299"/>
      <c r="BW50" s="299"/>
      <c r="BX50" s="299"/>
      <c r="BY50" s="299"/>
      <c r="BZ50" s="299"/>
      <c r="CA50" s="62"/>
      <c r="CB50" s="62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00"/>
      <c r="FQ50" s="301"/>
      <c r="FR50" s="301"/>
      <c r="FS50" s="301"/>
      <c r="FT50" s="301"/>
      <c r="FU50" s="301"/>
      <c r="FV50" s="301"/>
      <c r="FW50" s="301"/>
      <c r="FX50" s="301"/>
      <c r="FY50" s="301"/>
      <c r="FZ50" s="301"/>
      <c r="GA50" s="301"/>
      <c r="GB50" s="301"/>
      <c r="GC50" s="301"/>
      <c r="GD50" s="301"/>
      <c r="GE50" s="301"/>
      <c r="GF50" s="301"/>
      <c r="GG50" s="301"/>
      <c r="GH50" s="302"/>
    </row>
    <row r="51" spans="1:190" ht="9.9499999999999993" customHeight="1" x14ac:dyDescent="0.2">
      <c r="A51" s="305" t="s">
        <v>97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305"/>
      <c r="X51" s="37"/>
      <c r="Y51" s="250" t="s">
        <v>98</v>
      </c>
      <c r="Z51" s="250"/>
      <c r="AA51" s="250"/>
      <c r="AB51" s="250"/>
      <c r="AC51" s="250"/>
      <c r="AD51" s="250"/>
      <c r="AE51" s="250"/>
      <c r="AF51" s="250"/>
      <c r="AG51" s="250"/>
      <c r="AH51" s="250"/>
      <c r="AI51" s="250"/>
      <c r="AJ51" s="250"/>
      <c r="AK51" s="250"/>
      <c r="AL51" s="250"/>
      <c r="AM51" s="250"/>
      <c r="AN51" s="250"/>
      <c r="AO51" s="250"/>
      <c r="AP51" s="250"/>
      <c r="AQ51" s="250"/>
      <c r="AR51" s="250"/>
      <c r="AS51" s="250"/>
      <c r="AT51" s="250"/>
      <c r="AU51" s="250"/>
      <c r="AV51" s="250"/>
      <c r="AW51" s="250"/>
      <c r="AX51" s="250"/>
      <c r="AY51" s="250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BJ51" s="250"/>
      <c r="BK51" s="250"/>
      <c r="BL51" s="250"/>
      <c r="BM51" s="250"/>
      <c r="BN51" s="250"/>
      <c r="BO51" s="250"/>
      <c r="BP51" s="250"/>
      <c r="BQ51" s="250"/>
      <c r="BR51" s="250"/>
      <c r="BS51" s="250"/>
      <c r="BT51" s="250"/>
      <c r="BU51" s="250"/>
      <c r="BV51" s="250"/>
      <c r="BW51" s="250"/>
      <c r="BX51" s="250"/>
      <c r="BY51" s="250"/>
      <c r="BZ51" s="250"/>
      <c r="CA51" s="64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 t="s">
        <v>99</v>
      </c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250" t="s">
        <v>100</v>
      </c>
      <c r="DG51" s="250"/>
      <c r="DH51" s="250"/>
      <c r="DI51" s="250"/>
      <c r="DJ51" s="250"/>
      <c r="DK51" s="250"/>
      <c r="DL51" s="250"/>
      <c r="DM51" s="250"/>
      <c r="DN51" s="250"/>
      <c r="DO51" s="250"/>
      <c r="DP51" s="250"/>
      <c r="DQ51" s="250"/>
      <c r="DR51" s="250"/>
      <c r="DS51" s="250"/>
      <c r="DT51" s="250"/>
      <c r="DU51" s="250"/>
      <c r="DV51" s="250"/>
      <c r="DW51" s="250"/>
      <c r="DX51" s="250"/>
      <c r="DY51" s="250"/>
      <c r="DZ51" s="250"/>
      <c r="EA51" s="250"/>
      <c r="EB51" s="250"/>
      <c r="EC51" s="250"/>
      <c r="ED51" s="250"/>
      <c r="EE51" s="250"/>
      <c r="EF51" s="250"/>
      <c r="EG51" s="250"/>
      <c r="EH51" s="250"/>
      <c r="EI51" s="250"/>
      <c r="EJ51" s="250"/>
      <c r="EK51" s="250"/>
      <c r="EL51" s="250"/>
      <c r="EM51" s="250"/>
      <c r="EN51" s="250"/>
      <c r="EO51" s="250"/>
      <c r="EP51" s="250"/>
      <c r="EQ51" s="250"/>
      <c r="ER51" s="250"/>
      <c r="ES51" s="250"/>
      <c r="ET51" s="250"/>
      <c r="EU51" s="250"/>
      <c r="EV51" s="250"/>
      <c r="EW51" s="250"/>
      <c r="EX51" s="250"/>
      <c r="EY51" s="250"/>
      <c r="EZ51" s="250"/>
      <c r="FA51" s="250"/>
      <c r="FB51" s="250"/>
      <c r="FC51" s="250"/>
      <c r="FD51" s="250"/>
      <c r="FE51" s="250"/>
      <c r="FF51" s="250"/>
      <c r="FG51" s="250"/>
      <c r="FH51" s="250"/>
      <c r="FI51" s="37"/>
      <c r="FJ51" s="37"/>
      <c r="FK51" s="37"/>
      <c r="FL51" s="37"/>
      <c r="FM51" s="37"/>
      <c r="FN51" s="52" t="s">
        <v>101</v>
      </c>
      <c r="FO51" s="37"/>
      <c r="FP51" s="303"/>
      <c r="FQ51" s="298"/>
      <c r="FR51" s="298"/>
      <c r="FS51" s="298"/>
      <c r="FT51" s="298"/>
      <c r="FU51" s="298"/>
      <c r="FV51" s="298"/>
      <c r="FW51" s="298"/>
      <c r="FX51" s="298"/>
      <c r="FY51" s="298"/>
      <c r="FZ51" s="298"/>
      <c r="GA51" s="298"/>
      <c r="GB51" s="298"/>
      <c r="GC51" s="298"/>
      <c r="GD51" s="298"/>
      <c r="GE51" s="298"/>
      <c r="GF51" s="298"/>
      <c r="GG51" s="298"/>
      <c r="GH51" s="304"/>
    </row>
    <row r="52" spans="1:190" ht="5.0999999999999996" customHeight="1" x14ac:dyDescent="0.2">
      <c r="A52" s="305"/>
      <c r="B52" s="305"/>
      <c r="C52" s="305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7"/>
      <c r="Y52" s="299" t="s">
        <v>102</v>
      </c>
      <c r="Z52" s="299"/>
      <c r="AA52" s="299"/>
      <c r="AB52" s="299"/>
      <c r="AC52" s="299"/>
      <c r="AD52" s="299"/>
      <c r="AE52" s="299"/>
      <c r="AF52" s="299"/>
      <c r="AG52" s="299"/>
      <c r="AH52" s="299"/>
      <c r="AI52" s="299"/>
      <c r="AJ52" s="299"/>
      <c r="AK52" s="299"/>
      <c r="AL52" s="299"/>
      <c r="AM52" s="299"/>
      <c r="AN52" s="299"/>
      <c r="AO52" s="299"/>
      <c r="AP52" s="299"/>
      <c r="AQ52" s="299"/>
      <c r="AR52" s="299"/>
      <c r="AS52" s="299"/>
      <c r="AT52" s="299"/>
      <c r="AU52" s="299"/>
      <c r="AV52" s="299"/>
      <c r="AW52" s="299"/>
      <c r="AX52" s="299"/>
      <c r="AY52" s="299"/>
      <c r="AZ52" s="299"/>
      <c r="BA52" s="299"/>
      <c r="BB52" s="299"/>
      <c r="BC52" s="299"/>
      <c r="BD52" s="299"/>
      <c r="BE52" s="299"/>
      <c r="BF52" s="299"/>
      <c r="BG52" s="299"/>
      <c r="BH52" s="299"/>
      <c r="BI52" s="299"/>
      <c r="BJ52" s="299"/>
      <c r="BK52" s="299"/>
      <c r="BL52" s="299"/>
      <c r="BM52" s="299"/>
      <c r="BN52" s="299"/>
      <c r="BO52" s="299"/>
      <c r="BP52" s="299"/>
      <c r="BQ52" s="299"/>
      <c r="BR52" s="299"/>
      <c r="BS52" s="299"/>
      <c r="BT52" s="299"/>
      <c r="BU52" s="299"/>
      <c r="BV52" s="299"/>
      <c r="BW52" s="299"/>
      <c r="BX52" s="299"/>
      <c r="BY52" s="299"/>
      <c r="BZ52" s="299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292" t="s">
        <v>35</v>
      </c>
      <c r="FQ52" s="293"/>
      <c r="FR52" s="293"/>
      <c r="FS52" s="293"/>
      <c r="FT52" s="293"/>
      <c r="FU52" s="293"/>
      <c r="FV52" s="293"/>
      <c r="FW52" s="293"/>
      <c r="FX52" s="293"/>
      <c r="FY52" s="293"/>
      <c r="FZ52" s="293"/>
      <c r="GA52" s="293"/>
      <c r="GB52" s="293"/>
      <c r="GC52" s="293"/>
      <c r="GD52" s="293"/>
      <c r="GE52" s="293"/>
      <c r="GF52" s="293"/>
      <c r="GG52" s="293"/>
      <c r="GH52" s="294"/>
    </row>
    <row r="53" spans="1:190" ht="9.9499999999999993" customHeight="1" x14ac:dyDescent="0.2">
      <c r="A53" s="260" t="s">
        <v>103</v>
      </c>
      <c r="B53" s="260"/>
      <c r="C53" s="260"/>
      <c r="D53" s="260"/>
      <c r="E53" s="260"/>
      <c r="F53" s="260"/>
      <c r="G53" s="260"/>
      <c r="H53" s="260"/>
      <c r="I53" s="260"/>
      <c r="J53" s="260"/>
      <c r="K53" s="260"/>
      <c r="L53" s="260"/>
      <c r="M53" s="260"/>
      <c r="N53" s="260"/>
      <c r="O53" s="260"/>
      <c r="P53" s="260"/>
      <c r="Q53" s="260"/>
      <c r="R53" s="260"/>
      <c r="S53" s="260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  <c r="AF53" s="289"/>
      <c r="AG53" s="289"/>
      <c r="AH53" s="37"/>
      <c r="AI53" s="37" t="s">
        <v>104</v>
      </c>
      <c r="AJ53" s="37"/>
      <c r="AK53" s="37"/>
      <c r="AL53" s="37"/>
      <c r="AM53" s="37"/>
      <c r="AN53" s="37"/>
      <c r="AO53" s="37"/>
      <c r="AP53" s="289"/>
      <c r="AQ53" s="289"/>
      <c r="AR53" s="289"/>
      <c r="AS53" s="289"/>
      <c r="AT53" s="289"/>
      <c r="AU53" s="289"/>
      <c r="AV53" s="289"/>
      <c r="AW53" s="289"/>
      <c r="AX53" s="289"/>
      <c r="AY53" s="289"/>
      <c r="AZ53" s="289"/>
      <c r="BA53" s="289"/>
      <c r="BB53" s="289"/>
      <c r="BC53" s="289"/>
      <c r="BD53" s="37"/>
      <c r="BE53" s="37" t="s">
        <v>8</v>
      </c>
      <c r="BF53" s="37"/>
      <c r="BG53" s="37"/>
      <c r="BH53" s="37"/>
      <c r="BI53" s="289"/>
      <c r="BJ53" s="289"/>
      <c r="BK53" s="289"/>
      <c r="BL53" s="289"/>
      <c r="BM53" s="289"/>
      <c r="BN53" s="289"/>
      <c r="BO53" s="289"/>
      <c r="BP53" s="289"/>
      <c r="BQ53" s="289"/>
      <c r="BR53" s="289"/>
      <c r="BS53" s="289"/>
      <c r="BT53" s="289"/>
      <c r="BU53" s="289"/>
      <c r="BV53" s="289"/>
      <c r="BW53" s="69"/>
      <c r="BX53" s="69"/>
      <c r="BY53" s="69"/>
      <c r="BZ53" s="69"/>
      <c r="CA53" s="69"/>
      <c r="CB53" s="69"/>
      <c r="CC53" s="69"/>
      <c r="CD53" s="69"/>
      <c r="CE53" s="69"/>
      <c r="CF53" s="69"/>
      <c r="CG53" s="69"/>
      <c r="CH53" s="69"/>
      <c r="CI53" s="69"/>
      <c r="CJ53" s="69"/>
      <c r="CK53" s="69"/>
      <c r="CL53" s="69"/>
      <c r="CM53" s="69"/>
      <c r="CN53" s="69"/>
      <c r="CO53" s="69"/>
      <c r="CP53" s="69"/>
      <c r="CQ53" s="69"/>
      <c r="CR53" s="69"/>
      <c r="CS53" s="69"/>
      <c r="CT53" s="69"/>
      <c r="CU53" s="69"/>
      <c r="CV53" s="69"/>
      <c r="CW53" s="69"/>
      <c r="CX53" s="69"/>
      <c r="CY53" s="69"/>
      <c r="CZ53" s="69"/>
      <c r="DA53" s="69"/>
      <c r="DB53" s="69"/>
      <c r="DC53" s="69"/>
      <c r="DD53" s="69"/>
      <c r="DE53" s="69"/>
      <c r="DF53" s="69"/>
      <c r="DG53" s="69"/>
      <c r="DH53" s="69"/>
      <c r="DI53" s="69"/>
      <c r="DJ53" s="69"/>
      <c r="DK53" s="69"/>
      <c r="DL53" s="69"/>
      <c r="DM53" s="69"/>
      <c r="DN53" s="69"/>
      <c r="DO53" s="69"/>
      <c r="DP53" s="69"/>
      <c r="DQ53" s="69"/>
      <c r="DR53" s="69"/>
      <c r="DS53" s="69"/>
      <c r="DT53" s="69"/>
      <c r="DU53" s="69"/>
      <c r="DV53" s="69"/>
      <c r="DW53" s="69"/>
      <c r="DX53" s="69"/>
      <c r="DY53" s="64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00"/>
      <c r="FQ53" s="301"/>
      <c r="FR53" s="301"/>
      <c r="FS53" s="301"/>
      <c r="FT53" s="301"/>
      <c r="FU53" s="301"/>
      <c r="FV53" s="301"/>
      <c r="FW53" s="301"/>
      <c r="FX53" s="301"/>
      <c r="FY53" s="301"/>
      <c r="FZ53" s="301"/>
      <c r="GA53" s="301"/>
      <c r="GB53" s="301"/>
      <c r="GC53" s="301"/>
      <c r="GD53" s="301"/>
      <c r="GE53" s="301"/>
      <c r="GF53" s="301"/>
      <c r="GG53" s="301"/>
      <c r="GH53" s="302"/>
    </row>
    <row r="54" spans="1:190" ht="9.9499999999999993" customHeight="1" x14ac:dyDescent="0.2">
      <c r="A54" s="37" t="s">
        <v>105</v>
      </c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250" t="s">
        <v>106</v>
      </c>
      <c r="R54" s="250"/>
      <c r="S54" s="250"/>
      <c r="T54" s="250"/>
      <c r="U54" s="250"/>
      <c r="V54" s="250"/>
      <c r="W54" s="250"/>
      <c r="X54" s="250"/>
      <c r="Y54" s="250"/>
      <c r="Z54" s="250"/>
      <c r="AA54" s="250"/>
      <c r="AB54" s="250"/>
      <c r="AC54" s="250"/>
      <c r="AD54" s="250"/>
      <c r="AE54" s="250"/>
      <c r="AF54" s="250"/>
      <c r="AG54" s="250"/>
      <c r="AH54" s="250"/>
      <c r="AI54" s="250"/>
      <c r="AJ54" s="250"/>
      <c r="AK54" s="250"/>
      <c r="AL54" s="250"/>
      <c r="AM54" s="250"/>
      <c r="AN54" s="250"/>
      <c r="AO54" s="250"/>
      <c r="AP54" s="250"/>
      <c r="AQ54" s="250"/>
      <c r="AR54" s="250"/>
      <c r="AS54" s="250"/>
      <c r="AT54" s="250"/>
      <c r="AU54" s="250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250"/>
      <c r="BZ54" s="250"/>
      <c r="CA54" s="250"/>
      <c r="CB54" s="250"/>
      <c r="CC54" s="37"/>
      <c r="CD54" s="37" t="s">
        <v>107</v>
      </c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250" t="s">
        <v>108</v>
      </c>
      <c r="CU54" s="250"/>
      <c r="CV54" s="250"/>
      <c r="CW54" s="250"/>
      <c r="CX54" s="250"/>
      <c r="CY54" s="250"/>
      <c r="CZ54" s="250"/>
      <c r="DA54" s="250"/>
      <c r="DB54" s="250"/>
      <c r="DC54" s="250"/>
      <c r="DD54" s="250"/>
      <c r="DE54" s="250"/>
      <c r="DF54" s="250"/>
      <c r="DG54" s="250"/>
      <c r="DH54" s="250"/>
      <c r="DI54" s="250"/>
      <c r="DJ54" s="250"/>
      <c r="DK54" s="250"/>
      <c r="DL54" s="250"/>
      <c r="DM54" s="250"/>
      <c r="DN54" s="250"/>
      <c r="DO54" s="250"/>
      <c r="DP54" s="250"/>
      <c r="DQ54" s="250"/>
      <c r="DR54" s="250"/>
      <c r="DS54" s="250"/>
      <c r="DT54" s="250"/>
      <c r="DU54" s="250"/>
      <c r="DV54" s="250"/>
      <c r="DW54" s="250"/>
      <c r="DX54" s="250"/>
      <c r="DY54" s="250"/>
      <c r="DZ54" s="250"/>
      <c r="EA54" s="250"/>
      <c r="EB54" s="250"/>
      <c r="EC54" s="250"/>
      <c r="ED54" s="250"/>
      <c r="EE54" s="250"/>
      <c r="EF54" s="250"/>
      <c r="EG54" s="250"/>
      <c r="EH54" s="250"/>
      <c r="EI54" s="250"/>
      <c r="EJ54" s="250"/>
      <c r="EK54" s="250"/>
      <c r="EL54" s="250"/>
      <c r="EM54" s="250"/>
      <c r="EN54" s="250"/>
      <c r="EO54" s="250"/>
      <c r="EP54" s="250"/>
      <c r="EQ54" s="250"/>
      <c r="ER54" s="250"/>
      <c r="ES54" s="250"/>
      <c r="ET54" s="250"/>
      <c r="EU54" s="250"/>
      <c r="EV54" s="250"/>
      <c r="EW54" s="250"/>
      <c r="EX54" s="250"/>
      <c r="EY54" s="250"/>
      <c r="EZ54" s="250"/>
      <c r="FA54" s="250"/>
      <c r="FB54" s="250"/>
      <c r="FC54" s="250"/>
      <c r="FD54" s="64"/>
      <c r="FE54" s="37"/>
      <c r="FF54" s="37"/>
      <c r="FG54" s="64"/>
      <c r="FH54" s="64"/>
      <c r="FI54" s="64"/>
      <c r="FJ54" s="64"/>
      <c r="FK54" s="64"/>
      <c r="FL54" s="37"/>
      <c r="FM54" s="37"/>
      <c r="FN54" s="70" t="s">
        <v>109</v>
      </c>
      <c r="FO54" s="37"/>
      <c r="FP54" s="303"/>
      <c r="FQ54" s="298"/>
      <c r="FR54" s="298"/>
      <c r="FS54" s="298"/>
      <c r="FT54" s="298"/>
      <c r="FU54" s="298"/>
      <c r="FV54" s="298"/>
      <c r="FW54" s="298"/>
      <c r="FX54" s="298"/>
      <c r="FY54" s="298"/>
      <c r="FZ54" s="298"/>
      <c r="GA54" s="298"/>
      <c r="GB54" s="298"/>
      <c r="GC54" s="298"/>
      <c r="GD54" s="298"/>
      <c r="GE54" s="298"/>
      <c r="GF54" s="298"/>
      <c r="GG54" s="298"/>
      <c r="GH54" s="304"/>
    </row>
    <row r="55" spans="1:190" ht="9.9499999999999993" customHeight="1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299" t="s">
        <v>110</v>
      </c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299"/>
      <c r="AJ55" s="299"/>
      <c r="AK55" s="299"/>
      <c r="AL55" s="299"/>
      <c r="AM55" s="299"/>
      <c r="AN55" s="299"/>
      <c r="AO55" s="299"/>
      <c r="AP55" s="299"/>
      <c r="AQ55" s="299"/>
      <c r="AR55" s="299"/>
      <c r="AS55" s="299"/>
      <c r="AT55" s="299"/>
      <c r="AU55" s="299"/>
      <c r="AV55" s="299"/>
      <c r="AW55" s="299"/>
      <c r="AX55" s="299"/>
      <c r="AY55" s="299"/>
      <c r="AZ55" s="299"/>
      <c r="BA55" s="299"/>
      <c r="BB55" s="299"/>
      <c r="BC55" s="299"/>
      <c r="BD55" s="299"/>
      <c r="BE55" s="299"/>
      <c r="BF55" s="299"/>
      <c r="BG55" s="299"/>
      <c r="BH55" s="299"/>
      <c r="BI55" s="299"/>
      <c r="BJ55" s="299"/>
      <c r="BK55" s="299"/>
      <c r="BL55" s="299"/>
      <c r="BM55" s="299"/>
      <c r="BN55" s="299"/>
      <c r="BO55" s="299"/>
      <c r="BP55" s="299"/>
      <c r="BQ55" s="299"/>
      <c r="BR55" s="299"/>
      <c r="BS55" s="299"/>
      <c r="BT55" s="299"/>
      <c r="BU55" s="299"/>
      <c r="BV55" s="299"/>
      <c r="BW55" s="299"/>
      <c r="BX55" s="299"/>
      <c r="BY55" s="299"/>
      <c r="BZ55" s="299"/>
      <c r="CA55" s="299"/>
      <c r="CB55" s="299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299" t="s">
        <v>110</v>
      </c>
      <c r="CU55" s="299"/>
      <c r="CV55" s="299"/>
      <c r="CW55" s="299"/>
      <c r="CX55" s="299"/>
      <c r="CY55" s="299"/>
      <c r="CZ55" s="299"/>
      <c r="DA55" s="299"/>
      <c r="DB55" s="299"/>
      <c r="DC55" s="299"/>
      <c r="DD55" s="299"/>
      <c r="DE55" s="299"/>
      <c r="DF55" s="299"/>
      <c r="DG55" s="299"/>
      <c r="DH55" s="299"/>
      <c r="DI55" s="299"/>
      <c r="DJ55" s="299"/>
      <c r="DK55" s="299"/>
      <c r="DL55" s="299"/>
      <c r="DM55" s="299"/>
      <c r="DN55" s="299"/>
      <c r="DO55" s="299"/>
      <c r="DP55" s="299"/>
      <c r="DQ55" s="299"/>
      <c r="DR55" s="299"/>
      <c r="DS55" s="299"/>
      <c r="DT55" s="299"/>
      <c r="DU55" s="299"/>
      <c r="DV55" s="299"/>
      <c r="DW55" s="299"/>
      <c r="DX55" s="299"/>
      <c r="DY55" s="299"/>
      <c r="DZ55" s="299"/>
      <c r="EA55" s="299"/>
      <c r="EB55" s="299"/>
      <c r="EC55" s="299"/>
      <c r="ED55" s="299"/>
      <c r="EE55" s="299"/>
      <c r="EF55" s="299"/>
      <c r="EG55" s="299"/>
      <c r="EH55" s="299"/>
      <c r="EI55" s="299"/>
      <c r="EJ55" s="299"/>
      <c r="EK55" s="299"/>
      <c r="EL55" s="299"/>
      <c r="EM55" s="299"/>
      <c r="EN55" s="299"/>
      <c r="EO55" s="299"/>
      <c r="EP55" s="299"/>
      <c r="EQ55" s="299"/>
      <c r="ER55" s="299"/>
      <c r="ES55" s="299"/>
      <c r="ET55" s="299"/>
      <c r="EU55" s="299"/>
      <c r="EV55" s="299"/>
      <c r="EW55" s="299"/>
      <c r="EX55" s="299"/>
      <c r="EY55" s="299"/>
      <c r="EZ55" s="299"/>
      <c r="FA55" s="299"/>
      <c r="FB55" s="299"/>
      <c r="FC55" s="299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292" t="s">
        <v>35</v>
      </c>
      <c r="FQ55" s="293"/>
      <c r="FR55" s="293"/>
      <c r="FS55" s="293"/>
      <c r="FT55" s="293"/>
      <c r="FU55" s="293"/>
      <c r="FV55" s="293"/>
      <c r="FW55" s="293"/>
      <c r="FX55" s="293"/>
      <c r="FY55" s="293"/>
      <c r="FZ55" s="293"/>
      <c r="GA55" s="293"/>
      <c r="GB55" s="293"/>
      <c r="GC55" s="293"/>
      <c r="GD55" s="293"/>
      <c r="GE55" s="293"/>
      <c r="GF55" s="293"/>
      <c r="GG55" s="293"/>
      <c r="GH55" s="294"/>
    </row>
    <row r="56" spans="1:190" ht="9.9499999999999993" customHeight="1" thickBot="1" x14ac:dyDescent="0.25">
      <c r="A56" s="58" t="s">
        <v>111</v>
      </c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  <c r="AI56" s="178"/>
      <c r="AJ56" s="178"/>
      <c r="AK56" s="178"/>
      <c r="AL56" s="178"/>
      <c r="AM56" s="178"/>
      <c r="AN56" s="178"/>
      <c r="AO56" s="178"/>
      <c r="AP56" s="178"/>
      <c r="AQ56" s="178"/>
      <c r="AR56" s="178"/>
      <c r="AS56" s="178"/>
      <c r="AT56" s="178"/>
      <c r="AU56" s="178"/>
      <c r="AV56" s="178"/>
      <c r="AW56" s="178"/>
      <c r="AX56" s="178"/>
      <c r="AY56" s="178"/>
      <c r="AZ56" s="178"/>
      <c r="BA56" s="178"/>
      <c r="BB56" s="178"/>
      <c r="BC56" s="178"/>
      <c r="BD56" s="178"/>
      <c r="BE56" s="178"/>
      <c r="BF56" s="178"/>
      <c r="BG56" s="178"/>
      <c r="BH56" s="178"/>
      <c r="BI56" s="178"/>
      <c r="BJ56" s="178"/>
      <c r="BK56" s="178"/>
      <c r="BL56" s="178"/>
      <c r="BM56" s="178"/>
      <c r="BN56" s="178"/>
      <c r="BO56" s="178"/>
      <c r="BP56" s="178"/>
      <c r="BQ56" s="178"/>
      <c r="BR56" s="178"/>
      <c r="BS56" s="178"/>
      <c r="BT56" s="178"/>
      <c r="BU56" s="178"/>
      <c r="BV56" s="37"/>
      <c r="BW56" s="58" t="s">
        <v>112</v>
      </c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298" t="s">
        <v>35</v>
      </c>
      <c r="CI56" s="298"/>
      <c r="CJ56" s="298"/>
      <c r="CK56" s="298"/>
      <c r="CL56" s="298"/>
      <c r="CM56" s="298"/>
      <c r="CN56" s="298"/>
      <c r="CO56" s="298"/>
      <c r="CP56" s="298"/>
      <c r="CQ56" s="298"/>
      <c r="CR56" s="298"/>
      <c r="CS56" s="298"/>
      <c r="CT56" s="298"/>
      <c r="CU56" s="298"/>
      <c r="CV56" s="298"/>
      <c r="CW56" s="298"/>
      <c r="CX56" s="298"/>
      <c r="CY56" s="298"/>
      <c r="CZ56" s="37"/>
      <c r="DA56" s="71" t="s">
        <v>91</v>
      </c>
      <c r="DB56" s="37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37"/>
      <c r="EF56" s="298" t="s">
        <v>35</v>
      </c>
      <c r="EG56" s="298"/>
      <c r="EH56" s="298"/>
      <c r="EI56" s="298"/>
      <c r="EJ56" s="298"/>
      <c r="EK56" s="298"/>
      <c r="EL56" s="298"/>
      <c r="EM56" s="298"/>
      <c r="EN56" s="298"/>
      <c r="EO56" s="298"/>
      <c r="EP56" s="298"/>
      <c r="EQ56" s="298"/>
      <c r="ER56" s="298"/>
      <c r="ES56" s="298"/>
      <c r="ET56" s="298"/>
      <c r="EU56" s="298"/>
      <c r="EV56" s="298"/>
      <c r="EW56" s="298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48"/>
      <c r="FK56" s="48"/>
      <c r="FL56" s="48"/>
      <c r="FM56" s="48"/>
      <c r="FN56" s="52" t="s">
        <v>113</v>
      </c>
      <c r="FO56" s="37"/>
      <c r="FP56" s="295"/>
      <c r="FQ56" s="296"/>
      <c r="FR56" s="296"/>
      <c r="FS56" s="296"/>
      <c r="FT56" s="296"/>
      <c r="FU56" s="296"/>
      <c r="FV56" s="296"/>
      <c r="FW56" s="296"/>
      <c r="FX56" s="296"/>
      <c r="FY56" s="296"/>
      <c r="FZ56" s="296"/>
      <c r="GA56" s="296"/>
      <c r="GB56" s="296"/>
      <c r="GC56" s="296"/>
      <c r="GD56" s="296"/>
      <c r="GE56" s="296"/>
      <c r="GF56" s="296"/>
      <c r="GG56" s="296"/>
      <c r="GH56" s="297"/>
    </row>
    <row r="57" spans="1:190" ht="5.0999999999999996" customHeight="1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299" t="s">
        <v>114</v>
      </c>
      <c r="R57" s="299"/>
      <c r="S57" s="299"/>
      <c r="T57" s="299"/>
      <c r="U57" s="299"/>
      <c r="V57" s="299"/>
      <c r="W57" s="299"/>
      <c r="X57" s="299"/>
      <c r="Y57" s="299"/>
      <c r="Z57" s="299"/>
      <c r="AA57" s="299"/>
      <c r="AB57" s="299"/>
      <c r="AC57" s="299"/>
      <c r="AD57" s="299"/>
      <c r="AE57" s="299"/>
      <c r="AF57" s="299"/>
      <c r="AG57" s="299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/>
      <c r="AZ57" s="299"/>
      <c r="BA57" s="299"/>
      <c r="BB57" s="299"/>
      <c r="BC57" s="299"/>
      <c r="BD57" s="299"/>
      <c r="BE57" s="299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299" t="s">
        <v>115</v>
      </c>
      <c r="CI57" s="299"/>
      <c r="CJ57" s="299"/>
      <c r="CK57" s="299"/>
      <c r="CL57" s="299"/>
      <c r="CM57" s="299"/>
      <c r="CN57" s="299"/>
      <c r="CO57" s="299"/>
      <c r="CP57" s="299"/>
      <c r="CQ57" s="299"/>
      <c r="CR57" s="299"/>
      <c r="CS57" s="299"/>
      <c r="CT57" s="299"/>
      <c r="CU57" s="299"/>
      <c r="CV57" s="299"/>
      <c r="CW57" s="299"/>
      <c r="CX57" s="299"/>
      <c r="CY57" s="299"/>
      <c r="CZ57" s="37"/>
      <c r="DA57" s="64"/>
      <c r="DB57" s="37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49"/>
      <c r="EY57" s="49"/>
      <c r="EZ57" s="49"/>
      <c r="FA57" s="49"/>
      <c r="FB57" s="49"/>
      <c r="FC57" s="49"/>
      <c r="FD57" s="49"/>
      <c r="FE57" s="49"/>
      <c r="FF57" s="49"/>
      <c r="FG57" s="49"/>
      <c r="FH57" s="49"/>
      <c r="FI57" s="49"/>
      <c r="FJ57" s="49"/>
      <c r="FK57" s="49"/>
      <c r="FL57" s="49"/>
      <c r="FM57" s="49"/>
      <c r="FN57" s="49"/>
      <c r="FO57" s="37"/>
      <c r="FP57" s="292" t="s">
        <v>35</v>
      </c>
      <c r="FQ57" s="293"/>
      <c r="FR57" s="293"/>
      <c r="FS57" s="293"/>
      <c r="FT57" s="293"/>
      <c r="FU57" s="293"/>
      <c r="FV57" s="293"/>
      <c r="FW57" s="293"/>
      <c r="FX57" s="293"/>
      <c r="FY57" s="293"/>
      <c r="FZ57" s="293"/>
      <c r="GA57" s="293"/>
      <c r="GB57" s="293"/>
      <c r="GC57" s="293"/>
      <c r="GD57" s="293"/>
      <c r="GE57" s="293"/>
      <c r="GF57" s="293"/>
      <c r="GG57" s="293"/>
      <c r="GH57" s="294"/>
    </row>
    <row r="58" spans="1:190" ht="9.9499999999999993" customHeight="1" thickBot="1" x14ac:dyDescent="0.25">
      <c r="A58" s="178"/>
      <c r="B58" s="178"/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  <c r="AA58" s="178"/>
      <c r="AB58" s="178"/>
      <c r="AC58" s="178"/>
      <c r="AD58" s="178"/>
      <c r="AE58" s="178"/>
      <c r="AF58" s="178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8"/>
      <c r="BH58" s="48"/>
      <c r="BI58" s="48"/>
      <c r="BJ58" s="48"/>
      <c r="BK58" s="48"/>
      <c r="BL58" s="48"/>
      <c r="BM58" s="48"/>
      <c r="BN58" s="48"/>
      <c r="BO58" s="48"/>
      <c r="BP58" s="48"/>
      <c r="BQ58" s="48"/>
      <c r="BR58" s="37"/>
      <c r="BS58" s="37"/>
      <c r="BT58" s="37"/>
      <c r="BU58" s="37"/>
      <c r="BV58" s="37"/>
      <c r="BW58" s="48" t="s">
        <v>116</v>
      </c>
      <c r="BX58" s="48"/>
      <c r="BY58" s="48"/>
      <c r="BZ58" s="48"/>
      <c r="CA58" s="48"/>
      <c r="CB58" s="48"/>
      <c r="CC58" s="48"/>
      <c r="CD58" s="48"/>
      <c r="CE58" s="48"/>
      <c r="CF58" s="48"/>
      <c r="CG58" s="48"/>
      <c r="CH58" s="298" t="s">
        <v>35</v>
      </c>
      <c r="CI58" s="298"/>
      <c r="CJ58" s="298"/>
      <c r="CK58" s="298"/>
      <c r="CL58" s="298"/>
      <c r="CM58" s="298"/>
      <c r="CN58" s="298"/>
      <c r="CO58" s="298"/>
      <c r="CP58" s="298"/>
      <c r="CQ58" s="298"/>
      <c r="CR58" s="298"/>
      <c r="CS58" s="298"/>
      <c r="CT58" s="298"/>
      <c r="CU58" s="298"/>
      <c r="CV58" s="298"/>
      <c r="CW58" s="298"/>
      <c r="CX58" s="298"/>
      <c r="CY58" s="298"/>
      <c r="CZ58" s="37"/>
      <c r="DA58" s="71" t="s">
        <v>91</v>
      </c>
      <c r="DB58" s="37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298" t="s">
        <v>35</v>
      </c>
      <c r="EG58" s="298"/>
      <c r="EH58" s="298"/>
      <c r="EI58" s="298"/>
      <c r="EJ58" s="298"/>
      <c r="EK58" s="298"/>
      <c r="EL58" s="298"/>
      <c r="EM58" s="298"/>
      <c r="EN58" s="298"/>
      <c r="EO58" s="298"/>
      <c r="EP58" s="298"/>
      <c r="EQ58" s="298"/>
      <c r="ER58" s="298"/>
      <c r="ES58" s="298"/>
      <c r="ET58" s="298"/>
      <c r="EU58" s="298"/>
      <c r="EV58" s="298"/>
      <c r="EW58" s="298"/>
      <c r="EX58" s="49"/>
      <c r="EY58" s="49"/>
      <c r="EZ58" s="49"/>
      <c r="FA58" s="49"/>
      <c r="FB58" s="49"/>
      <c r="FC58" s="49"/>
      <c r="FD58" s="49"/>
      <c r="FE58" s="49"/>
      <c r="FF58" s="49"/>
      <c r="FG58" s="49"/>
      <c r="FH58" s="49"/>
      <c r="FI58" s="49"/>
      <c r="FJ58" s="49"/>
      <c r="FK58" s="49"/>
      <c r="FL58" s="49"/>
      <c r="FM58" s="49"/>
      <c r="FN58" s="49" t="s">
        <v>113</v>
      </c>
      <c r="FO58" s="37"/>
      <c r="FP58" s="295"/>
      <c r="FQ58" s="296"/>
      <c r="FR58" s="296"/>
      <c r="FS58" s="296"/>
      <c r="FT58" s="296"/>
      <c r="FU58" s="296"/>
      <c r="FV58" s="296"/>
      <c r="FW58" s="296"/>
      <c r="FX58" s="296"/>
      <c r="FY58" s="296"/>
      <c r="FZ58" s="296"/>
      <c r="GA58" s="296"/>
      <c r="GB58" s="296"/>
      <c r="GC58" s="296"/>
      <c r="GD58" s="296"/>
      <c r="GE58" s="296"/>
      <c r="GF58" s="296"/>
      <c r="GG58" s="296"/>
      <c r="GH58" s="297"/>
    </row>
    <row r="59" spans="1:190" ht="5.0999999999999996" customHeight="1" x14ac:dyDescent="0.2">
      <c r="A59" s="299" t="s">
        <v>117</v>
      </c>
      <c r="B59" s="299"/>
      <c r="C59" s="299"/>
      <c r="D59" s="299"/>
      <c r="E59" s="299"/>
      <c r="F59" s="299"/>
      <c r="G59" s="299"/>
      <c r="H59" s="299"/>
      <c r="I59" s="299"/>
      <c r="J59" s="299"/>
      <c r="K59" s="299"/>
      <c r="L59" s="299"/>
      <c r="M59" s="299"/>
      <c r="N59" s="299"/>
      <c r="O59" s="299"/>
      <c r="P59" s="299"/>
      <c r="Q59" s="299"/>
      <c r="R59" s="299"/>
      <c r="S59" s="299"/>
      <c r="T59" s="299"/>
      <c r="U59" s="299"/>
      <c r="V59" s="299"/>
      <c r="W59" s="299"/>
      <c r="X59" s="299"/>
      <c r="Y59" s="299"/>
      <c r="Z59" s="299"/>
      <c r="AA59" s="299"/>
      <c r="AB59" s="299"/>
      <c r="AC59" s="299"/>
      <c r="AD59" s="299"/>
      <c r="AE59" s="299"/>
      <c r="AF59" s="299"/>
      <c r="AG59" s="37"/>
      <c r="AH59" s="37"/>
      <c r="AI59" s="37"/>
      <c r="AJ59" s="37"/>
      <c r="AK59" s="37"/>
      <c r="AL59" s="37"/>
      <c r="AM59" s="37"/>
      <c r="AN59" s="37"/>
      <c r="AO59" s="270" t="s">
        <v>118</v>
      </c>
      <c r="AP59" s="270"/>
      <c r="AQ59" s="270"/>
      <c r="AR59" s="270"/>
      <c r="AS59" s="270"/>
      <c r="AT59" s="270"/>
      <c r="AU59" s="270"/>
      <c r="AV59" s="270"/>
      <c r="AW59" s="270"/>
      <c r="AX59" s="270"/>
      <c r="AY59" s="270"/>
      <c r="AZ59" s="270"/>
      <c r="BA59" s="270"/>
      <c r="BB59" s="270"/>
      <c r="BC59" s="270"/>
      <c r="BD59" s="270"/>
      <c r="BE59" s="270"/>
      <c r="BF59" s="270"/>
      <c r="BG59" s="270"/>
      <c r="BH59" s="270"/>
      <c r="BI59" s="270"/>
      <c r="BJ59" s="270"/>
      <c r="BK59" s="270"/>
      <c r="BL59" s="270"/>
      <c r="BM59" s="270"/>
      <c r="BN59" s="270"/>
      <c r="BO59" s="270"/>
      <c r="BP59" s="270"/>
      <c r="BQ59" s="270"/>
      <c r="BR59" s="270"/>
      <c r="BS59" s="270"/>
      <c r="BT59" s="270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299" t="s">
        <v>115</v>
      </c>
      <c r="CI59" s="299"/>
      <c r="CJ59" s="299"/>
      <c r="CK59" s="299"/>
      <c r="CL59" s="299"/>
      <c r="CM59" s="299"/>
      <c r="CN59" s="299"/>
      <c r="CO59" s="299"/>
      <c r="CP59" s="299"/>
      <c r="CQ59" s="299"/>
      <c r="CR59" s="299"/>
      <c r="CS59" s="299"/>
      <c r="CT59" s="299"/>
      <c r="CU59" s="299"/>
      <c r="CV59" s="299"/>
      <c r="CW59" s="299"/>
      <c r="CX59" s="299"/>
      <c r="CY59" s="299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49"/>
      <c r="EW59" s="49"/>
      <c r="EX59" s="49"/>
      <c r="EY59" s="49"/>
      <c r="EZ59" s="49"/>
      <c r="FA59" s="49"/>
      <c r="FB59" s="49"/>
      <c r="FC59" s="49"/>
      <c r="FD59" s="49"/>
      <c r="FE59" s="49"/>
      <c r="FF59" s="49"/>
      <c r="FG59" s="49"/>
      <c r="FH59" s="49"/>
      <c r="FI59" s="49"/>
      <c r="FJ59" s="49"/>
      <c r="FK59" s="49"/>
      <c r="FL59" s="49"/>
      <c r="FM59" s="49"/>
      <c r="FN59" s="49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</row>
    <row r="60" spans="1:190" ht="5.0999999999999996" customHeight="1" thickBot="1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06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6"/>
      <c r="BH60" s="306"/>
      <c r="BI60" s="306"/>
      <c r="BJ60" s="306"/>
      <c r="BK60" s="306"/>
      <c r="BL60" s="306"/>
      <c r="BM60" s="306"/>
      <c r="BN60" s="306"/>
      <c r="BO60" s="306"/>
      <c r="BP60" s="306"/>
      <c r="BQ60" s="306"/>
      <c r="BR60" s="306"/>
      <c r="BS60" s="306"/>
      <c r="BT60" s="306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49"/>
      <c r="EW60" s="49"/>
      <c r="EX60" s="49"/>
      <c r="EY60" s="49"/>
      <c r="EZ60" s="49"/>
      <c r="FA60" s="49"/>
      <c r="FB60" s="49"/>
      <c r="FC60" s="49"/>
      <c r="FD60" s="49"/>
      <c r="FE60" s="49"/>
      <c r="FF60" s="49"/>
      <c r="FG60" s="49"/>
      <c r="FH60" s="49"/>
      <c r="FI60" s="49"/>
      <c r="FJ60" s="49"/>
      <c r="FK60" s="49"/>
      <c r="FL60" s="49"/>
      <c r="FM60" s="49"/>
      <c r="FN60" s="49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</row>
    <row r="61" spans="1:190" ht="9.9499999999999993" customHeight="1" thickTop="1" x14ac:dyDescent="0.2">
      <c r="A61" s="307" t="s">
        <v>119</v>
      </c>
      <c r="B61" s="308"/>
      <c r="C61" s="308"/>
      <c r="D61" s="308"/>
      <c r="E61" s="308"/>
      <c r="F61" s="308"/>
      <c r="G61" s="308"/>
      <c r="H61" s="308"/>
      <c r="I61" s="308"/>
      <c r="J61" s="308"/>
      <c r="K61" s="308"/>
      <c r="L61" s="308"/>
      <c r="M61" s="308"/>
      <c r="N61" s="308"/>
      <c r="O61" s="308"/>
      <c r="P61" s="308"/>
      <c r="Q61" s="308"/>
      <c r="R61" s="308"/>
      <c r="S61" s="308"/>
      <c r="T61" s="308"/>
      <c r="U61" s="308"/>
      <c r="V61" s="308"/>
      <c r="W61" s="308"/>
      <c r="X61" s="308"/>
      <c r="Y61" s="308"/>
      <c r="Z61" s="308"/>
      <c r="AA61" s="308"/>
      <c r="AB61" s="308"/>
      <c r="AC61" s="308"/>
      <c r="AD61" s="308"/>
      <c r="AE61" s="308"/>
      <c r="AF61" s="308"/>
      <c r="AG61" s="308"/>
      <c r="AH61" s="308"/>
      <c r="AI61" s="308" t="s">
        <v>120</v>
      </c>
      <c r="AJ61" s="308"/>
      <c r="AK61" s="308"/>
      <c r="AL61" s="308"/>
      <c r="AM61" s="308"/>
      <c r="AN61" s="308"/>
      <c r="AO61" s="308"/>
      <c r="AP61" s="308"/>
      <c r="AQ61" s="308"/>
      <c r="AR61" s="308"/>
      <c r="AS61" s="308"/>
      <c r="AT61" s="308"/>
      <c r="AU61" s="308"/>
      <c r="AV61" s="308"/>
      <c r="AW61" s="308"/>
      <c r="AX61" s="308"/>
      <c r="AY61" s="308"/>
      <c r="AZ61" s="308"/>
      <c r="BA61" s="308"/>
      <c r="BB61" s="308"/>
      <c r="BC61" s="308"/>
      <c r="BD61" s="308"/>
      <c r="BE61" s="308"/>
      <c r="BF61" s="308"/>
      <c r="BG61" s="308"/>
      <c r="BH61" s="308"/>
      <c r="BI61" s="308"/>
      <c r="BJ61" s="308"/>
      <c r="BK61" s="308"/>
      <c r="BL61" s="308"/>
      <c r="BM61" s="308"/>
      <c r="BN61" s="308"/>
      <c r="BO61" s="308"/>
      <c r="BP61" s="308"/>
      <c r="BQ61" s="308"/>
      <c r="BR61" s="308"/>
      <c r="BS61" s="308"/>
      <c r="BT61" s="308"/>
      <c r="BU61" s="308" t="s">
        <v>29</v>
      </c>
      <c r="BV61" s="308"/>
      <c r="BW61" s="308"/>
      <c r="BX61" s="308"/>
      <c r="BY61" s="308"/>
      <c r="BZ61" s="308"/>
      <c r="CA61" s="308"/>
      <c r="CB61" s="308"/>
      <c r="CC61" s="308"/>
      <c r="CD61" s="308"/>
      <c r="CE61" s="308"/>
      <c r="CF61" s="308"/>
      <c r="CG61" s="308"/>
      <c r="CH61" s="308"/>
      <c r="CI61" s="308"/>
      <c r="CJ61" s="308"/>
      <c r="CK61" s="308"/>
      <c r="CL61" s="308"/>
      <c r="CM61" s="308" t="s">
        <v>121</v>
      </c>
      <c r="CN61" s="308"/>
      <c r="CO61" s="308"/>
      <c r="CP61" s="308"/>
      <c r="CQ61" s="308"/>
      <c r="CR61" s="308"/>
      <c r="CS61" s="308"/>
      <c r="CT61" s="308"/>
      <c r="CU61" s="308"/>
      <c r="CV61" s="308"/>
      <c r="CW61" s="308"/>
      <c r="CX61" s="308"/>
      <c r="CY61" s="308"/>
      <c r="CZ61" s="308"/>
      <c r="DA61" s="308"/>
      <c r="DB61" s="308"/>
      <c r="DC61" s="308" t="s">
        <v>122</v>
      </c>
      <c r="DD61" s="308"/>
      <c r="DE61" s="308"/>
      <c r="DF61" s="308"/>
      <c r="DG61" s="308"/>
      <c r="DH61" s="308"/>
      <c r="DI61" s="308"/>
      <c r="DJ61" s="308"/>
      <c r="DK61" s="308"/>
      <c r="DL61" s="308"/>
      <c r="DM61" s="308"/>
      <c r="DN61" s="308"/>
      <c r="DO61" s="308"/>
      <c r="DP61" s="308"/>
      <c r="DQ61" s="308"/>
      <c r="DR61" s="308"/>
      <c r="DS61" s="308"/>
      <c r="DT61" s="308"/>
      <c r="DU61" s="308"/>
      <c r="DV61" s="308"/>
      <c r="DW61" s="308"/>
      <c r="DX61" s="308"/>
      <c r="DY61" s="308"/>
      <c r="DZ61" s="308"/>
      <c r="EA61" s="308"/>
      <c r="EB61" s="308"/>
      <c r="EC61" s="308"/>
      <c r="ED61" s="308"/>
      <c r="EE61" s="308"/>
      <c r="EF61" s="308"/>
      <c r="EG61" s="308"/>
      <c r="EH61" s="308"/>
      <c r="EI61" s="308"/>
      <c r="EJ61" s="308" t="s">
        <v>123</v>
      </c>
      <c r="EK61" s="308"/>
      <c r="EL61" s="308"/>
      <c r="EM61" s="308"/>
      <c r="EN61" s="308"/>
      <c r="EO61" s="308"/>
      <c r="EP61" s="308"/>
      <c r="EQ61" s="308"/>
      <c r="ER61" s="308"/>
      <c r="ES61" s="308"/>
      <c r="ET61" s="308"/>
      <c r="EU61" s="150" t="s">
        <v>124</v>
      </c>
      <c r="EV61" s="150"/>
      <c r="EW61" s="150"/>
      <c r="EX61" s="150"/>
      <c r="EY61" s="150"/>
      <c r="EZ61" s="150"/>
      <c r="FA61" s="150"/>
      <c r="FB61" s="150"/>
      <c r="FC61" s="150"/>
      <c r="FD61" s="150"/>
      <c r="FE61" s="150"/>
      <c r="FF61" s="150"/>
      <c r="FG61" s="150"/>
      <c r="FH61" s="308" t="s">
        <v>125</v>
      </c>
      <c r="FI61" s="308"/>
      <c r="FJ61" s="308"/>
      <c r="FK61" s="308"/>
      <c r="FL61" s="308"/>
      <c r="FM61" s="308"/>
      <c r="FN61" s="308"/>
      <c r="FO61" s="308"/>
      <c r="FP61" s="308"/>
      <c r="FQ61" s="308"/>
      <c r="FR61" s="308"/>
      <c r="FS61" s="308"/>
      <c r="FT61" s="308"/>
      <c r="FU61" s="150" t="s">
        <v>126</v>
      </c>
      <c r="FV61" s="150"/>
      <c r="FW61" s="150"/>
      <c r="FX61" s="150"/>
      <c r="FY61" s="150"/>
      <c r="FZ61" s="150"/>
      <c r="GA61" s="150"/>
      <c r="GB61" s="150"/>
      <c r="GC61" s="150"/>
      <c r="GD61" s="150"/>
      <c r="GE61" s="150"/>
      <c r="GF61" s="150"/>
      <c r="GG61" s="150"/>
      <c r="GH61" s="152"/>
    </row>
    <row r="62" spans="1:190" ht="9.9499999999999993" customHeight="1" thickBot="1" x14ac:dyDescent="0.25">
      <c r="A62" s="309">
        <v>1</v>
      </c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0"/>
      <c r="P62" s="310"/>
      <c r="Q62" s="310"/>
      <c r="R62" s="310"/>
      <c r="S62" s="310"/>
      <c r="T62" s="310"/>
      <c r="U62" s="310"/>
      <c r="V62" s="310"/>
      <c r="W62" s="310"/>
      <c r="X62" s="310"/>
      <c r="Y62" s="310"/>
      <c r="Z62" s="310"/>
      <c r="AA62" s="310"/>
      <c r="AB62" s="310"/>
      <c r="AC62" s="310"/>
      <c r="AD62" s="310"/>
      <c r="AE62" s="310"/>
      <c r="AF62" s="310"/>
      <c r="AG62" s="310"/>
      <c r="AH62" s="310"/>
      <c r="AI62" s="311">
        <v>2</v>
      </c>
      <c r="AJ62" s="311"/>
      <c r="AK62" s="311"/>
      <c r="AL62" s="311"/>
      <c r="AM62" s="311"/>
      <c r="AN62" s="311"/>
      <c r="AO62" s="311"/>
      <c r="AP62" s="311"/>
      <c r="AQ62" s="311"/>
      <c r="AR62" s="311"/>
      <c r="AS62" s="311"/>
      <c r="AT62" s="311"/>
      <c r="AU62" s="311"/>
      <c r="AV62" s="311"/>
      <c r="AW62" s="311"/>
      <c r="AX62" s="311"/>
      <c r="AY62" s="311"/>
      <c r="AZ62" s="311"/>
      <c r="BA62" s="311"/>
      <c r="BB62" s="311"/>
      <c r="BC62" s="311"/>
      <c r="BD62" s="311"/>
      <c r="BE62" s="311"/>
      <c r="BF62" s="311"/>
      <c r="BG62" s="311"/>
      <c r="BH62" s="311"/>
      <c r="BI62" s="311"/>
      <c r="BJ62" s="311"/>
      <c r="BK62" s="311"/>
      <c r="BL62" s="311"/>
      <c r="BM62" s="311"/>
      <c r="BN62" s="311"/>
      <c r="BO62" s="311"/>
      <c r="BP62" s="311"/>
      <c r="BQ62" s="311"/>
      <c r="BR62" s="311"/>
      <c r="BS62" s="311"/>
      <c r="BT62" s="311"/>
      <c r="BU62" s="311">
        <v>3</v>
      </c>
      <c r="BV62" s="311"/>
      <c r="BW62" s="311"/>
      <c r="BX62" s="311"/>
      <c r="BY62" s="311"/>
      <c r="BZ62" s="311"/>
      <c r="CA62" s="311"/>
      <c r="CB62" s="311"/>
      <c r="CC62" s="311"/>
      <c r="CD62" s="311"/>
      <c r="CE62" s="311"/>
      <c r="CF62" s="311"/>
      <c r="CG62" s="311"/>
      <c r="CH62" s="311"/>
      <c r="CI62" s="311"/>
      <c r="CJ62" s="311"/>
      <c r="CK62" s="311"/>
      <c r="CL62" s="311"/>
      <c r="CM62" s="312">
        <v>4</v>
      </c>
      <c r="CN62" s="312"/>
      <c r="CO62" s="312"/>
      <c r="CP62" s="312"/>
      <c r="CQ62" s="312"/>
      <c r="CR62" s="312"/>
      <c r="CS62" s="312"/>
      <c r="CT62" s="312"/>
      <c r="CU62" s="312"/>
      <c r="CV62" s="312"/>
      <c r="CW62" s="312"/>
      <c r="CX62" s="312"/>
      <c r="CY62" s="312"/>
      <c r="CZ62" s="312"/>
      <c r="DA62" s="312"/>
      <c r="DB62" s="312"/>
      <c r="DC62" s="311">
        <v>5</v>
      </c>
      <c r="DD62" s="311"/>
      <c r="DE62" s="311"/>
      <c r="DF62" s="311"/>
      <c r="DG62" s="311"/>
      <c r="DH62" s="311"/>
      <c r="DI62" s="311"/>
      <c r="DJ62" s="311"/>
      <c r="DK62" s="311"/>
      <c r="DL62" s="311"/>
      <c r="DM62" s="311"/>
      <c r="DN62" s="311"/>
      <c r="DO62" s="311"/>
      <c r="DP62" s="311"/>
      <c r="DQ62" s="311"/>
      <c r="DR62" s="311"/>
      <c r="DS62" s="311"/>
      <c r="DT62" s="311"/>
      <c r="DU62" s="311"/>
      <c r="DV62" s="311"/>
      <c r="DW62" s="311"/>
      <c r="DX62" s="311"/>
      <c r="DY62" s="311"/>
      <c r="DZ62" s="311"/>
      <c r="EA62" s="311"/>
      <c r="EB62" s="311"/>
      <c r="EC62" s="311"/>
      <c r="ED62" s="311"/>
      <c r="EE62" s="311"/>
      <c r="EF62" s="311"/>
      <c r="EG62" s="311"/>
      <c r="EH62" s="311"/>
      <c r="EI62" s="311"/>
      <c r="EJ62" s="312">
        <v>6</v>
      </c>
      <c r="EK62" s="312"/>
      <c r="EL62" s="312"/>
      <c r="EM62" s="312"/>
      <c r="EN62" s="312"/>
      <c r="EO62" s="312"/>
      <c r="EP62" s="312"/>
      <c r="EQ62" s="312"/>
      <c r="ER62" s="312"/>
      <c r="ES62" s="312"/>
      <c r="ET62" s="312"/>
      <c r="EU62" s="312">
        <v>7</v>
      </c>
      <c r="EV62" s="312"/>
      <c r="EW62" s="312"/>
      <c r="EX62" s="312"/>
      <c r="EY62" s="312"/>
      <c r="EZ62" s="312"/>
      <c r="FA62" s="312"/>
      <c r="FB62" s="312"/>
      <c r="FC62" s="312"/>
      <c r="FD62" s="312"/>
      <c r="FE62" s="312"/>
      <c r="FF62" s="312"/>
      <c r="FG62" s="312"/>
      <c r="FH62" s="312">
        <v>8</v>
      </c>
      <c r="FI62" s="312"/>
      <c r="FJ62" s="312"/>
      <c r="FK62" s="312"/>
      <c r="FL62" s="312"/>
      <c r="FM62" s="312"/>
      <c r="FN62" s="312"/>
      <c r="FO62" s="312"/>
      <c r="FP62" s="312"/>
      <c r="FQ62" s="312"/>
      <c r="FR62" s="312"/>
      <c r="FS62" s="312"/>
      <c r="FT62" s="312"/>
      <c r="FU62" s="312">
        <v>9</v>
      </c>
      <c r="FV62" s="312"/>
      <c r="FW62" s="312"/>
      <c r="FX62" s="312"/>
      <c r="FY62" s="312"/>
      <c r="FZ62" s="312"/>
      <c r="GA62" s="312"/>
      <c r="GB62" s="312"/>
      <c r="GC62" s="312"/>
      <c r="GD62" s="312"/>
      <c r="GE62" s="312"/>
      <c r="GF62" s="312"/>
      <c r="GG62" s="312"/>
      <c r="GH62" s="313"/>
    </row>
    <row r="63" spans="1:190" s="73" customFormat="1" ht="11.45" customHeight="1" thickTop="1" x14ac:dyDescent="0.25">
      <c r="A63" s="336" t="s">
        <v>127</v>
      </c>
      <c r="B63" s="337"/>
      <c r="C63" s="337"/>
      <c r="D63" s="338" t="s">
        <v>36</v>
      </c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196"/>
      <c r="AI63" s="161" t="s">
        <v>35</v>
      </c>
      <c r="AJ63" s="339"/>
      <c r="AK63" s="339"/>
      <c r="AL63" s="339"/>
      <c r="AM63" s="339"/>
      <c r="AN63" s="339"/>
      <c r="AO63" s="339"/>
      <c r="AP63" s="339"/>
      <c r="AQ63" s="339"/>
      <c r="AR63" s="339"/>
      <c r="AS63" s="339"/>
      <c r="AT63" s="339"/>
      <c r="AU63" s="339"/>
      <c r="AV63" s="339"/>
      <c r="AW63" s="339"/>
      <c r="AX63" s="339"/>
      <c r="AY63" s="339"/>
      <c r="AZ63" s="339"/>
      <c r="BA63" s="339"/>
      <c r="BB63" s="339"/>
      <c r="BC63" s="339"/>
      <c r="BD63" s="339"/>
      <c r="BE63" s="339"/>
      <c r="BF63" s="339"/>
      <c r="BG63" s="339"/>
      <c r="BH63" s="339"/>
      <c r="BI63" s="339"/>
      <c r="BJ63" s="339"/>
      <c r="BK63" s="339"/>
      <c r="BL63" s="339"/>
      <c r="BM63" s="339"/>
      <c r="BN63" s="339"/>
      <c r="BO63" s="339"/>
      <c r="BP63" s="339"/>
      <c r="BQ63" s="339"/>
      <c r="BR63" s="339"/>
      <c r="BS63" s="339"/>
      <c r="BT63" s="159"/>
      <c r="BU63" s="161" t="s">
        <v>38</v>
      </c>
      <c r="BV63" s="339"/>
      <c r="BW63" s="339"/>
      <c r="BX63" s="339"/>
      <c r="BY63" s="339"/>
      <c r="BZ63" s="339"/>
      <c r="CA63" s="339"/>
      <c r="CB63" s="339"/>
      <c r="CC63" s="339"/>
      <c r="CD63" s="339"/>
      <c r="CE63" s="339"/>
      <c r="CF63" s="339"/>
      <c r="CG63" s="339"/>
      <c r="CH63" s="339"/>
      <c r="CI63" s="339"/>
      <c r="CJ63" s="339"/>
      <c r="CK63" s="339"/>
      <c r="CL63" s="340"/>
      <c r="CM63" s="341">
        <f>AS18</f>
        <v>317</v>
      </c>
      <c r="CN63" s="315"/>
      <c r="CO63" s="315"/>
      <c r="CP63" s="315"/>
      <c r="CQ63" s="315"/>
      <c r="CR63" s="315"/>
      <c r="CS63" s="315"/>
      <c r="CT63" s="315"/>
      <c r="CU63" s="315"/>
      <c r="CV63" s="315"/>
      <c r="CW63" s="315"/>
      <c r="CX63" s="315"/>
      <c r="CY63" s="315"/>
      <c r="CZ63" s="315"/>
      <c r="DA63" s="315"/>
      <c r="DB63" s="316"/>
      <c r="DC63" s="342" t="s">
        <v>128</v>
      </c>
      <c r="DD63" s="337"/>
      <c r="DE63" s="337"/>
      <c r="DF63" s="337"/>
      <c r="DG63" s="337"/>
      <c r="DH63" s="337"/>
      <c r="DI63" s="337"/>
      <c r="DJ63" s="337"/>
      <c r="DK63" s="337"/>
      <c r="DL63" s="337"/>
      <c r="DM63" s="337"/>
      <c r="DN63" s="337"/>
      <c r="DO63" s="337"/>
      <c r="DP63" s="337"/>
      <c r="DQ63" s="337"/>
      <c r="DR63" s="337"/>
      <c r="DS63" s="337"/>
      <c r="DT63" s="337"/>
      <c r="DU63" s="337"/>
      <c r="DV63" s="337"/>
      <c r="DW63" s="337"/>
      <c r="DX63" s="337"/>
      <c r="DY63" s="337"/>
      <c r="DZ63" s="337"/>
      <c r="EA63" s="337"/>
      <c r="EB63" s="337"/>
      <c r="EC63" s="337"/>
      <c r="ED63" s="337"/>
      <c r="EE63" s="337"/>
      <c r="EF63" s="337"/>
      <c r="EG63" s="337"/>
      <c r="EH63" s="337"/>
      <c r="EI63" s="343"/>
      <c r="EJ63" s="344" t="s">
        <v>35</v>
      </c>
      <c r="EK63" s="345"/>
      <c r="EL63" s="345"/>
      <c r="EM63" s="345"/>
      <c r="EN63" s="345"/>
      <c r="EO63" s="345"/>
      <c r="EP63" s="345"/>
      <c r="EQ63" s="345"/>
      <c r="ER63" s="345"/>
      <c r="ES63" s="345"/>
      <c r="ET63" s="346"/>
      <c r="EU63" s="347" t="s">
        <v>35</v>
      </c>
      <c r="EV63" s="345"/>
      <c r="EW63" s="345"/>
      <c r="EX63" s="345"/>
      <c r="EY63" s="345"/>
      <c r="EZ63" s="345"/>
      <c r="FA63" s="345"/>
      <c r="FB63" s="345"/>
      <c r="FC63" s="345"/>
      <c r="FD63" s="345"/>
      <c r="FE63" s="345"/>
      <c r="FF63" s="345"/>
      <c r="FG63" s="346"/>
      <c r="FH63" s="347" t="s">
        <v>35</v>
      </c>
      <c r="FI63" s="345"/>
      <c r="FJ63" s="345"/>
      <c r="FK63" s="345"/>
      <c r="FL63" s="345"/>
      <c r="FM63" s="345"/>
      <c r="FN63" s="345"/>
      <c r="FO63" s="345"/>
      <c r="FP63" s="345"/>
      <c r="FQ63" s="345"/>
      <c r="FR63" s="345"/>
      <c r="FS63" s="345"/>
      <c r="FT63" s="346"/>
      <c r="FU63" s="314">
        <f>EO18</f>
        <v>1.85</v>
      </c>
      <c r="FV63" s="315"/>
      <c r="FW63" s="315"/>
      <c r="FX63" s="315"/>
      <c r="FY63" s="315"/>
      <c r="FZ63" s="315"/>
      <c r="GA63" s="315"/>
      <c r="GB63" s="315"/>
      <c r="GC63" s="315"/>
      <c r="GD63" s="315"/>
      <c r="GE63" s="315"/>
      <c r="GF63" s="315"/>
      <c r="GG63" s="315"/>
      <c r="GH63" s="316"/>
    </row>
    <row r="64" spans="1:190" s="73" customFormat="1" ht="11.45" customHeight="1" thickBot="1" x14ac:dyDescent="0.3">
      <c r="A64" s="317" t="s">
        <v>129</v>
      </c>
      <c r="B64" s="318"/>
      <c r="C64" s="318"/>
      <c r="D64" s="319"/>
      <c r="E64" s="319"/>
      <c r="F64" s="319"/>
      <c r="G64" s="319"/>
      <c r="H64" s="319"/>
      <c r="I64" s="319"/>
      <c r="J64" s="319"/>
      <c r="K64" s="319"/>
      <c r="L64" s="319"/>
      <c r="M64" s="319"/>
      <c r="N64" s="319"/>
      <c r="O64" s="319"/>
      <c r="P64" s="319"/>
      <c r="Q64" s="319"/>
      <c r="R64" s="319"/>
      <c r="S64" s="319"/>
      <c r="T64" s="319"/>
      <c r="U64" s="319"/>
      <c r="V64" s="319"/>
      <c r="W64" s="319"/>
      <c r="X64" s="319"/>
      <c r="Y64" s="319"/>
      <c r="Z64" s="319"/>
      <c r="AA64" s="319"/>
      <c r="AB64" s="319"/>
      <c r="AC64" s="319"/>
      <c r="AD64" s="319"/>
      <c r="AE64" s="319"/>
      <c r="AF64" s="319"/>
      <c r="AG64" s="319"/>
      <c r="AH64" s="320"/>
      <c r="AI64" s="321" t="s">
        <v>35</v>
      </c>
      <c r="AJ64" s="322"/>
      <c r="AK64" s="322"/>
      <c r="AL64" s="322"/>
      <c r="AM64" s="322"/>
      <c r="AN64" s="322"/>
      <c r="AO64" s="322"/>
      <c r="AP64" s="322"/>
      <c r="AQ64" s="322"/>
      <c r="AR64" s="322"/>
      <c r="AS64" s="322"/>
      <c r="AT64" s="322"/>
      <c r="AU64" s="322"/>
      <c r="AV64" s="322"/>
      <c r="AW64" s="322"/>
      <c r="AX64" s="322"/>
      <c r="AY64" s="322"/>
      <c r="AZ64" s="322"/>
      <c r="BA64" s="322"/>
      <c r="BB64" s="322"/>
      <c r="BC64" s="322"/>
      <c r="BD64" s="322"/>
      <c r="BE64" s="322"/>
      <c r="BF64" s="322"/>
      <c r="BG64" s="322"/>
      <c r="BH64" s="322"/>
      <c r="BI64" s="322"/>
      <c r="BJ64" s="322"/>
      <c r="BK64" s="322"/>
      <c r="BL64" s="322"/>
      <c r="BM64" s="322"/>
      <c r="BN64" s="322"/>
      <c r="BO64" s="322"/>
      <c r="BP64" s="322"/>
      <c r="BQ64" s="322"/>
      <c r="BR64" s="322"/>
      <c r="BS64" s="322"/>
      <c r="BT64" s="323"/>
      <c r="BU64" s="321" t="s">
        <v>40</v>
      </c>
      <c r="BV64" s="322"/>
      <c r="BW64" s="322"/>
      <c r="BX64" s="322"/>
      <c r="BY64" s="322"/>
      <c r="BZ64" s="322"/>
      <c r="CA64" s="322"/>
      <c r="CB64" s="322"/>
      <c r="CC64" s="322"/>
      <c r="CD64" s="322"/>
      <c r="CE64" s="322"/>
      <c r="CF64" s="322"/>
      <c r="CG64" s="322"/>
      <c r="CH64" s="322"/>
      <c r="CI64" s="322"/>
      <c r="CJ64" s="322"/>
      <c r="CK64" s="322"/>
      <c r="CL64" s="324"/>
      <c r="CM64" s="325"/>
      <c r="CN64" s="326"/>
      <c r="CO64" s="326"/>
      <c r="CP64" s="326"/>
      <c r="CQ64" s="326"/>
      <c r="CR64" s="326"/>
      <c r="CS64" s="326"/>
      <c r="CT64" s="326"/>
      <c r="CU64" s="326"/>
      <c r="CV64" s="326"/>
      <c r="CW64" s="326"/>
      <c r="CX64" s="326"/>
      <c r="CY64" s="326"/>
      <c r="CZ64" s="326"/>
      <c r="DA64" s="326"/>
      <c r="DB64" s="327"/>
      <c r="DC64" s="328" t="s">
        <v>128</v>
      </c>
      <c r="DD64" s="318"/>
      <c r="DE64" s="318"/>
      <c r="DF64" s="318"/>
      <c r="DG64" s="318"/>
      <c r="DH64" s="318"/>
      <c r="DI64" s="318"/>
      <c r="DJ64" s="318"/>
      <c r="DK64" s="318"/>
      <c r="DL64" s="318"/>
      <c r="DM64" s="318"/>
      <c r="DN64" s="318"/>
      <c r="DO64" s="318"/>
      <c r="DP64" s="318"/>
      <c r="DQ64" s="318"/>
      <c r="DR64" s="318"/>
      <c r="DS64" s="318"/>
      <c r="DT64" s="318"/>
      <c r="DU64" s="318"/>
      <c r="DV64" s="318"/>
      <c r="DW64" s="318"/>
      <c r="DX64" s="318"/>
      <c r="DY64" s="318"/>
      <c r="DZ64" s="318"/>
      <c r="EA64" s="318"/>
      <c r="EB64" s="318"/>
      <c r="EC64" s="318"/>
      <c r="ED64" s="318"/>
      <c r="EE64" s="318"/>
      <c r="EF64" s="318"/>
      <c r="EG64" s="318"/>
      <c r="EH64" s="318"/>
      <c r="EI64" s="329"/>
      <c r="EJ64" s="330" t="s">
        <v>35</v>
      </c>
      <c r="EK64" s="331"/>
      <c r="EL64" s="331"/>
      <c r="EM64" s="331"/>
      <c r="EN64" s="331"/>
      <c r="EO64" s="331"/>
      <c r="EP64" s="331"/>
      <c r="EQ64" s="331"/>
      <c r="ER64" s="331"/>
      <c r="ES64" s="331"/>
      <c r="ET64" s="332"/>
      <c r="EU64" s="333" t="s">
        <v>35</v>
      </c>
      <c r="EV64" s="334"/>
      <c r="EW64" s="334"/>
      <c r="EX64" s="334"/>
      <c r="EY64" s="334"/>
      <c r="EZ64" s="334"/>
      <c r="FA64" s="334"/>
      <c r="FB64" s="334"/>
      <c r="FC64" s="334"/>
      <c r="FD64" s="334"/>
      <c r="FE64" s="334"/>
      <c r="FF64" s="334"/>
      <c r="FG64" s="335"/>
      <c r="FH64" s="333" t="s">
        <v>35</v>
      </c>
      <c r="FI64" s="334"/>
      <c r="FJ64" s="334"/>
      <c r="FK64" s="334"/>
      <c r="FL64" s="334"/>
      <c r="FM64" s="334"/>
      <c r="FN64" s="334"/>
      <c r="FO64" s="334"/>
      <c r="FP64" s="334"/>
      <c r="FQ64" s="334"/>
      <c r="FR64" s="334"/>
      <c r="FS64" s="334"/>
      <c r="FT64" s="335"/>
      <c r="FU64" s="349"/>
      <c r="FV64" s="350"/>
      <c r="FW64" s="350"/>
      <c r="FX64" s="350"/>
      <c r="FY64" s="350"/>
      <c r="FZ64" s="350"/>
      <c r="GA64" s="350"/>
      <c r="GB64" s="350"/>
      <c r="GC64" s="350"/>
      <c r="GD64" s="350"/>
      <c r="GE64" s="350"/>
      <c r="GF64" s="350"/>
      <c r="GG64" s="350"/>
      <c r="GH64" s="351"/>
    </row>
    <row r="65" spans="1:190" ht="9.9499999999999993" customHeight="1" thickTop="1" x14ac:dyDescent="0.2">
      <c r="A65" s="48" t="s">
        <v>130</v>
      </c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 t="s">
        <v>25</v>
      </c>
      <c r="AO65" s="74"/>
      <c r="AP65" s="74"/>
      <c r="AQ65" s="74"/>
      <c r="AR65" s="74"/>
      <c r="AS65" s="74"/>
      <c r="AT65" s="74"/>
      <c r="AU65" s="352" t="str">
        <f>N25</f>
        <v xml:space="preserve">Триста семнадцать </v>
      </c>
      <c r="AV65" s="352"/>
      <c r="AW65" s="352"/>
      <c r="AX65" s="352"/>
      <c r="AY65" s="352"/>
      <c r="AZ65" s="352"/>
      <c r="BA65" s="352"/>
      <c r="BB65" s="352"/>
      <c r="BC65" s="352"/>
      <c r="BD65" s="352"/>
      <c r="BE65" s="352"/>
      <c r="BF65" s="352"/>
      <c r="BG65" s="352"/>
      <c r="BH65" s="352"/>
      <c r="BI65" s="352"/>
      <c r="BJ65" s="352"/>
      <c r="BK65" s="352"/>
      <c r="BL65" s="352"/>
      <c r="BM65" s="352"/>
      <c r="BN65" s="75"/>
      <c r="BO65" s="64"/>
      <c r="BP65" s="76" t="s">
        <v>130</v>
      </c>
      <c r="BQ65" s="76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37"/>
      <c r="CT65" s="37"/>
      <c r="CU65" s="37"/>
      <c r="CV65" s="37"/>
      <c r="CW65" s="37"/>
      <c r="CX65" s="37"/>
      <c r="CY65" s="37"/>
      <c r="CZ65" s="37"/>
      <c r="DA65" s="37"/>
      <c r="DB65" s="48"/>
      <c r="DC65" s="48" t="s">
        <v>25</v>
      </c>
      <c r="DD65" s="48"/>
      <c r="DE65" s="48"/>
      <c r="DF65" s="48"/>
      <c r="DG65" s="48"/>
      <c r="DH65" s="48"/>
      <c r="DI65" s="48"/>
      <c r="DJ65" s="48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48"/>
      <c r="DV65" s="48" t="s">
        <v>131</v>
      </c>
      <c r="DW65" s="37"/>
      <c r="DX65" s="48"/>
      <c r="DY65" s="48"/>
      <c r="DZ65" s="48"/>
      <c r="EA65" s="48"/>
      <c r="EB65" s="48"/>
      <c r="EC65" s="48"/>
      <c r="ED65" s="48"/>
      <c r="EE65" s="48"/>
      <c r="EF65" s="48"/>
      <c r="EG65" s="48"/>
      <c r="EH65" s="48"/>
      <c r="EI65" s="48"/>
      <c r="EJ65" s="354"/>
      <c r="EK65" s="355"/>
      <c r="EL65" s="355"/>
      <c r="EM65" s="355"/>
      <c r="EN65" s="355"/>
      <c r="EO65" s="355"/>
      <c r="EP65" s="355"/>
      <c r="EQ65" s="355"/>
      <c r="ER65" s="355"/>
      <c r="ES65" s="355"/>
      <c r="ET65" s="356"/>
      <c r="EU65" s="360" t="s">
        <v>132</v>
      </c>
      <c r="EV65" s="360"/>
      <c r="EW65" s="360"/>
      <c r="EX65" s="360"/>
      <c r="EY65" s="360"/>
      <c r="EZ65" s="360"/>
      <c r="FA65" s="360"/>
      <c r="FB65" s="360"/>
      <c r="FC65" s="360"/>
      <c r="FD65" s="360"/>
      <c r="FE65" s="360"/>
      <c r="FF65" s="360"/>
      <c r="FG65" s="360"/>
      <c r="FH65" s="360"/>
      <c r="FI65" s="360"/>
      <c r="FJ65" s="360"/>
      <c r="FK65" s="360"/>
      <c r="FL65" s="360"/>
      <c r="FM65" s="360"/>
      <c r="FN65" s="360"/>
      <c r="FO65" s="360"/>
      <c r="FP65" s="360"/>
      <c r="FQ65" s="360"/>
      <c r="FR65" s="360"/>
      <c r="FS65" s="360"/>
      <c r="FT65" s="360"/>
      <c r="FU65" s="361">
        <f>(EO18+EO19)</f>
        <v>1.85</v>
      </c>
      <c r="FV65" s="362"/>
      <c r="FW65" s="362"/>
      <c r="FX65" s="362"/>
      <c r="FY65" s="362"/>
      <c r="FZ65" s="362"/>
      <c r="GA65" s="362"/>
      <c r="GB65" s="362"/>
      <c r="GC65" s="362"/>
      <c r="GD65" s="362"/>
      <c r="GE65" s="362"/>
      <c r="GF65" s="362"/>
      <c r="GG65" s="362"/>
      <c r="GH65" s="363"/>
    </row>
    <row r="66" spans="1:190" ht="9.9499999999999993" customHeight="1" thickBot="1" x14ac:dyDescent="0.25">
      <c r="A66" s="37" t="s">
        <v>133</v>
      </c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77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7"/>
      <c r="AN66" s="78" t="s">
        <v>134</v>
      </c>
      <c r="AO66" s="78"/>
      <c r="AP66" s="77"/>
      <c r="AQ66" s="77"/>
      <c r="AR66" s="77"/>
      <c r="AS66" s="78"/>
      <c r="AT66" s="78"/>
      <c r="AU66" s="353"/>
      <c r="AV66" s="353"/>
      <c r="AW66" s="353"/>
      <c r="AX66" s="353"/>
      <c r="AY66" s="353"/>
      <c r="AZ66" s="353"/>
      <c r="BA66" s="353"/>
      <c r="BB66" s="353"/>
      <c r="BC66" s="353"/>
      <c r="BD66" s="353"/>
      <c r="BE66" s="353"/>
      <c r="BF66" s="353"/>
      <c r="BG66" s="353"/>
      <c r="BH66" s="353"/>
      <c r="BI66" s="353"/>
      <c r="BJ66" s="353"/>
      <c r="BK66" s="353"/>
      <c r="BL66" s="353"/>
      <c r="BM66" s="353"/>
      <c r="BN66" s="79"/>
      <c r="BO66" s="64"/>
      <c r="BP66" s="64" t="s">
        <v>133</v>
      </c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298"/>
      <c r="CT66" s="298"/>
      <c r="CU66" s="298"/>
      <c r="CV66" s="298"/>
      <c r="CW66" s="298"/>
      <c r="CX66" s="298"/>
      <c r="CY66" s="298"/>
      <c r="CZ66" s="298"/>
      <c r="DA66" s="298"/>
      <c r="DB66" s="37"/>
      <c r="DC66" s="367" t="s">
        <v>134</v>
      </c>
      <c r="DD66" s="367"/>
      <c r="DE66" s="367"/>
      <c r="DF66" s="367"/>
      <c r="DG66" s="367"/>
      <c r="DH66" s="367"/>
      <c r="DI66" s="367"/>
      <c r="DJ66" s="37"/>
      <c r="DK66" s="368"/>
      <c r="DL66" s="368"/>
      <c r="DM66" s="368"/>
      <c r="DN66" s="368"/>
      <c r="DO66" s="368"/>
      <c r="DP66" s="368"/>
      <c r="DQ66" s="368"/>
      <c r="DR66" s="368"/>
      <c r="DS66" s="368"/>
      <c r="DT66" s="368"/>
      <c r="DU66" s="37"/>
      <c r="DV66" s="37" t="s">
        <v>135</v>
      </c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57"/>
      <c r="EK66" s="358"/>
      <c r="EL66" s="358"/>
      <c r="EM66" s="358"/>
      <c r="EN66" s="358"/>
      <c r="EO66" s="358"/>
      <c r="EP66" s="358"/>
      <c r="EQ66" s="358"/>
      <c r="ER66" s="358"/>
      <c r="ES66" s="358"/>
      <c r="ET66" s="359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64"/>
      <c r="FV66" s="365"/>
      <c r="FW66" s="365"/>
      <c r="FX66" s="365"/>
      <c r="FY66" s="365"/>
      <c r="FZ66" s="365"/>
      <c r="GA66" s="365"/>
      <c r="GB66" s="365"/>
      <c r="GC66" s="365"/>
      <c r="GD66" s="365"/>
      <c r="GE66" s="365"/>
      <c r="GF66" s="365"/>
      <c r="GG66" s="365"/>
      <c r="GH66" s="366"/>
    </row>
    <row r="67" spans="1:190" ht="9.9499999999999993" customHeight="1" thickTop="1" x14ac:dyDescent="0.2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371" t="s">
        <v>136</v>
      </c>
      <c r="AB67" s="372"/>
      <c r="AC67" s="372"/>
      <c r="AD67" s="372"/>
      <c r="AE67" s="372"/>
      <c r="AF67" s="372"/>
      <c r="AG67" s="372"/>
      <c r="AH67" s="372"/>
      <c r="AI67" s="372"/>
      <c r="AJ67" s="372"/>
      <c r="AK67" s="372"/>
      <c r="AL67" s="372"/>
      <c r="AM67" s="371"/>
      <c r="AN67" s="371"/>
      <c r="AO67" s="371"/>
      <c r="AP67" s="371"/>
      <c r="AQ67" s="371"/>
      <c r="AR67" s="371"/>
      <c r="AS67" s="59"/>
      <c r="AT67" s="59"/>
      <c r="AU67" s="299" t="s">
        <v>51</v>
      </c>
      <c r="AV67" s="299"/>
      <c r="AW67" s="299"/>
      <c r="AX67" s="299"/>
      <c r="AY67" s="299"/>
      <c r="AZ67" s="299"/>
      <c r="BA67" s="299"/>
      <c r="BB67" s="299"/>
      <c r="BC67" s="299"/>
      <c r="BD67" s="299"/>
      <c r="BE67" s="299"/>
      <c r="BF67" s="299"/>
      <c r="BG67" s="299"/>
      <c r="BH67" s="299"/>
      <c r="BI67" s="299"/>
      <c r="BJ67" s="299"/>
      <c r="BK67" s="299"/>
      <c r="BL67" s="299"/>
      <c r="BM67" s="299"/>
      <c r="BN67" s="80"/>
      <c r="BO67" s="81"/>
      <c r="BP67" s="81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372" t="s">
        <v>136</v>
      </c>
      <c r="CT67" s="372"/>
      <c r="CU67" s="372"/>
      <c r="CV67" s="372"/>
      <c r="CW67" s="372"/>
      <c r="CX67" s="372"/>
      <c r="CY67" s="372"/>
      <c r="CZ67" s="372"/>
      <c r="DA67" s="372"/>
      <c r="DB67" s="59"/>
      <c r="DC67" s="82"/>
      <c r="DD67" s="82"/>
      <c r="DE67" s="82"/>
      <c r="DF67" s="82"/>
      <c r="DG67" s="82"/>
      <c r="DH67" s="82"/>
      <c r="DI67" s="82"/>
      <c r="DJ67" s="59"/>
      <c r="DK67" s="372" t="s">
        <v>51</v>
      </c>
      <c r="DL67" s="372"/>
      <c r="DM67" s="372"/>
      <c r="DN67" s="372"/>
      <c r="DO67" s="372"/>
      <c r="DP67" s="372"/>
      <c r="DQ67" s="372"/>
      <c r="DR67" s="372"/>
      <c r="DS67" s="372"/>
      <c r="DT67" s="372"/>
      <c r="DU67" s="59"/>
      <c r="DV67" s="59"/>
      <c r="DW67" s="59"/>
      <c r="DX67" s="59"/>
      <c r="DY67" s="59"/>
      <c r="DZ67" s="59"/>
      <c r="EA67" s="59"/>
      <c r="EB67" s="59"/>
      <c r="EC67" s="59"/>
      <c r="ED67" s="59"/>
      <c r="EE67" s="59"/>
      <c r="EF67" s="59"/>
      <c r="EG67" s="59"/>
      <c r="EH67" s="59"/>
      <c r="EI67" s="59"/>
      <c r="EJ67" s="59"/>
      <c r="EK67" s="59"/>
      <c r="EL67" s="59"/>
      <c r="EM67" s="59"/>
      <c r="EN67" s="59"/>
      <c r="EO67" s="59"/>
      <c r="EP67" s="59"/>
      <c r="EQ67" s="59"/>
      <c r="ER67" s="59"/>
      <c r="ES67" s="59"/>
      <c r="ET67" s="59"/>
      <c r="EU67" s="59"/>
      <c r="EV67" s="59"/>
      <c r="EW67" s="59"/>
      <c r="EX67" s="59"/>
      <c r="EY67" s="59"/>
      <c r="EZ67" s="59"/>
      <c r="FA67" s="59"/>
      <c r="FB67" s="59"/>
      <c r="FC67" s="59"/>
      <c r="FD67" s="59"/>
      <c r="FE67" s="59"/>
      <c r="FF67" s="59"/>
      <c r="FG67" s="59"/>
      <c r="FH67" s="59"/>
      <c r="FI67" s="59"/>
      <c r="FJ67" s="59"/>
      <c r="FK67" s="59"/>
      <c r="FL67" s="59"/>
      <c r="FM67" s="59"/>
      <c r="FN67" s="59"/>
      <c r="FO67" s="59"/>
      <c r="FP67" s="59"/>
      <c r="FQ67" s="59"/>
      <c r="FR67" s="59"/>
      <c r="FS67" s="59"/>
      <c r="FT67" s="59"/>
      <c r="FU67" s="59"/>
      <c r="FV67" s="59"/>
      <c r="FW67" s="59"/>
      <c r="FX67" s="59"/>
      <c r="FY67" s="59"/>
      <c r="FZ67" s="59"/>
      <c r="GA67" s="59"/>
      <c r="GB67" s="59"/>
      <c r="GC67" s="59"/>
      <c r="GD67" s="59"/>
      <c r="GE67" s="59"/>
      <c r="GF67" s="59"/>
      <c r="GG67" s="59"/>
      <c r="GH67" s="59"/>
    </row>
    <row r="68" spans="1:190" ht="9.9499999999999993" customHeight="1" x14ac:dyDescent="0.2">
      <c r="A68" s="37" t="s">
        <v>137</v>
      </c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53" t="str">
        <f>BV25</f>
        <v xml:space="preserve">Одна тысяча восемьсот пятьдесят </v>
      </c>
      <c r="R68" s="353"/>
      <c r="S68" s="353"/>
      <c r="T68" s="353"/>
      <c r="U68" s="353"/>
      <c r="V68" s="353"/>
      <c r="W68" s="353"/>
      <c r="X68" s="353"/>
      <c r="Y68" s="353"/>
      <c r="Z68" s="353"/>
      <c r="AA68" s="353"/>
      <c r="AB68" s="353"/>
      <c r="AC68" s="353"/>
      <c r="AD68" s="353"/>
      <c r="AE68" s="353"/>
      <c r="AF68" s="353"/>
      <c r="AG68" s="353"/>
      <c r="AH68" s="353"/>
      <c r="AI68" s="353"/>
      <c r="AJ68" s="353"/>
      <c r="AK68" s="353"/>
      <c r="AL68" s="353"/>
      <c r="AM68" s="353"/>
      <c r="AN68" s="353"/>
      <c r="AO68" s="353"/>
      <c r="AP68" s="353"/>
      <c r="AQ68" s="353"/>
      <c r="AR68" s="353"/>
      <c r="AS68" s="353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75"/>
      <c r="BO68" s="64"/>
      <c r="BP68" s="64" t="s">
        <v>137</v>
      </c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250"/>
      <c r="CG68" s="250"/>
      <c r="CH68" s="250"/>
      <c r="CI68" s="250"/>
      <c r="CJ68" s="250"/>
      <c r="CK68" s="250"/>
      <c r="CL68" s="250"/>
      <c r="CM68" s="250"/>
      <c r="CN68" s="250"/>
      <c r="CO68" s="250"/>
      <c r="CP68" s="250"/>
      <c r="CQ68" s="250"/>
      <c r="CR68" s="250"/>
      <c r="CS68" s="250"/>
      <c r="CT68" s="250"/>
      <c r="CU68" s="250"/>
      <c r="CV68" s="250"/>
      <c r="CW68" s="250"/>
      <c r="CX68" s="250"/>
      <c r="CY68" s="250"/>
      <c r="CZ68" s="250"/>
      <c r="DA68" s="250"/>
      <c r="DB68" s="250"/>
      <c r="DC68" s="37" t="s">
        <v>50</v>
      </c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83" t="s">
        <v>138</v>
      </c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48"/>
      <c r="FF68" s="348"/>
      <c r="FG68" s="348"/>
      <c r="FH68" s="348"/>
      <c r="FI68" s="348"/>
      <c r="FJ68" s="348"/>
      <c r="FK68" s="348"/>
      <c r="FL68" s="348"/>
      <c r="FM68" s="348"/>
      <c r="FN68" s="348"/>
      <c r="FO68" s="348"/>
      <c r="FP68" s="348"/>
      <c r="FQ68" s="348"/>
      <c r="FR68" s="348"/>
      <c r="FS68" s="348"/>
      <c r="FT68" s="348"/>
      <c r="FU68" s="348"/>
      <c r="FV68" s="348"/>
      <c r="FW68" s="348"/>
      <c r="FX68" s="348"/>
      <c r="FY68" s="348"/>
      <c r="FZ68" s="348"/>
      <c r="GA68" s="348"/>
      <c r="GB68" s="348"/>
      <c r="GC68" s="348"/>
      <c r="GD68" s="348"/>
      <c r="GE68" s="348"/>
      <c r="GF68" s="348"/>
      <c r="GG68" s="348"/>
      <c r="GH68" s="348"/>
    </row>
    <row r="69" spans="1:190" ht="9.9499999999999993" customHeight="1" x14ac:dyDescent="0.2">
      <c r="A69" s="260" t="s">
        <v>139</v>
      </c>
      <c r="B69" s="260"/>
      <c r="C69" s="260"/>
      <c r="D69" s="260"/>
      <c r="E69" s="260"/>
      <c r="F69" s="260"/>
      <c r="G69" s="260"/>
      <c r="H69" s="37"/>
      <c r="I69" s="37"/>
      <c r="J69" s="37"/>
      <c r="K69" s="37"/>
      <c r="L69" s="37"/>
      <c r="M69" s="37"/>
      <c r="N69" s="37"/>
      <c r="O69" s="37"/>
      <c r="P69" s="37"/>
      <c r="Q69" s="372" t="s">
        <v>51</v>
      </c>
      <c r="R69" s="372"/>
      <c r="S69" s="372"/>
      <c r="T69" s="372"/>
      <c r="U69" s="372"/>
      <c r="V69" s="372"/>
      <c r="W69" s="372"/>
      <c r="X69" s="372"/>
      <c r="Y69" s="372"/>
      <c r="Z69" s="372"/>
      <c r="AA69" s="372"/>
      <c r="AB69" s="372"/>
      <c r="AC69" s="372"/>
      <c r="AD69" s="372"/>
      <c r="AE69" s="372"/>
      <c r="AF69" s="372"/>
      <c r="AG69" s="372"/>
      <c r="AH69" s="372"/>
      <c r="AI69" s="372"/>
      <c r="AJ69" s="372"/>
      <c r="AK69" s="372"/>
      <c r="AL69" s="372"/>
      <c r="AM69" s="372"/>
      <c r="AN69" s="372"/>
      <c r="AO69" s="372"/>
      <c r="AP69" s="372"/>
      <c r="AQ69" s="372"/>
      <c r="AR69" s="372"/>
      <c r="AS69" s="372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75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299" t="s">
        <v>51</v>
      </c>
      <c r="CG69" s="299"/>
      <c r="CH69" s="299"/>
      <c r="CI69" s="299"/>
      <c r="CJ69" s="299"/>
      <c r="CK69" s="299"/>
      <c r="CL69" s="299"/>
      <c r="CM69" s="299"/>
      <c r="CN69" s="299"/>
      <c r="CO69" s="299"/>
      <c r="CP69" s="299"/>
      <c r="CQ69" s="299"/>
      <c r="CR69" s="299"/>
      <c r="CS69" s="299"/>
      <c r="CT69" s="299"/>
      <c r="CU69" s="299"/>
      <c r="CV69" s="299"/>
      <c r="CW69" s="299"/>
      <c r="CX69" s="299"/>
      <c r="CY69" s="299"/>
      <c r="CZ69" s="299"/>
      <c r="DA69" s="299"/>
      <c r="DB69" s="299"/>
      <c r="DC69" s="64"/>
      <c r="DD69" s="64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64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83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  <c r="EZ69" s="64"/>
      <c r="FA69" s="64"/>
      <c r="FB69" s="64"/>
      <c r="FC69" s="64"/>
      <c r="FD69" s="64"/>
      <c r="FE69" s="64"/>
      <c r="FF69" s="64"/>
      <c r="FG69" s="64"/>
      <c r="FH69" s="64"/>
      <c r="FI69" s="64"/>
      <c r="FJ69" s="64"/>
      <c r="FK69" s="64"/>
      <c r="FL69" s="64"/>
      <c r="FM69" s="64"/>
      <c r="FN69" s="64"/>
      <c r="FO69" s="64"/>
      <c r="FP69" s="64"/>
      <c r="FQ69" s="64"/>
      <c r="FR69" s="64"/>
      <c r="FS69" s="64"/>
      <c r="FT69" s="64"/>
      <c r="FU69" s="64"/>
      <c r="FV69" s="64"/>
      <c r="FW69" s="64"/>
      <c r="FX69" s="64"/>
      <c r="FY69" s="64"/>
      <c r="FZ69" s="64"/>
      <c r="GA69" s="64"/>
      <c r="GB69" s="64"/>
      <c r="GC69" s="64"/>
      <c r="GD69" s="64"/>
      <c r="GE69" s="64"/>
      <c r="GF69" s="64"/>
      <c r="GG69" s="64"/>
      <c r="GH69" s="64"/>
    </row>
    <row r="70" spans="1:190" ht="9.9499999999999993" customHeight="1" x14ac:dyDescent="0.2">
      <c r="A70" s="260"/>
      <c r="B70" s="260"/>
      <c r="C70" s="260"/>
      <c r="D70" s="260"/>
      <c r="E70" s="260"/>
      <c r="F70" s="260"/>
      <c r="G70" s="260"/>
      <c r="H70" s="37"/>
      <c r="I70" s="250" t="s">
        <v>76</v>
      </c>
      <c r="J70" s="250"/>
      <c r="K70" s="250"/>
      <c r="L70" s="250"/>
      <c r="M70" s="250"/>
      <c r="N70" s="250"/>
      <c r="O70" s="250"/>
      <c r="P70" s="250"/>
      <c r="Q70" s="250"/>
      <c r="R70" s="250"/>
      <c r="S70" s="37"/>
      <c r="T70" s="37"/>
      <c r="U70" s="249"/>
      <c r="V70" s="249"/>
      <c r="W70" s="249"/>
      <c r="X70" s="249"/>
      <c r="Y70" s="249"/>
      <c r="Z70" s="249"/>
      <c r="AA70" s="249"/>
      <c r="AB70" s="249"/>
      <c r="AC70" s="249"/>
      <c r="AD70" s="249"/>
      <c r="AE70" s="249"/>
      <c r="AF70" s="37"/>
      <c r="AG70" s="37"/>
      <c r="AH70" s="218" t="s">
        <v>77</v>
      </c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75"/>
      <c r="BO70" s="64"/>
      <c r="BP70" s="369" t="s">
        <v>140</v>
      </c>
      <c r="BQ70" s="369"/>
      <c r="BR70" s="369"/>
      <c r="BS70" s="369"/>
      <c r="BT70" s="369"/>
      <c r="BU70" s="369"/>
      <c r="BV70" s="369"/>
      <c r="BW70" s="369"/>
      <c r="BX70" s="369"/>
      <c r="BY70" s="369"/>
      <c r="BZ70" s="369"/>
      <c r="CA70" s="369"/>
      <c r="CB70" s="369"/>
      <c r="CC70" s="369"/>
      <c r="CD70" s="369"/>
      <c r="CE70" s="369"/>
      <c r="CF70" s="369"/>
      <c r="CG70" s="369"/>
      <c r="CH70" s="369"/>
      <c r="CI70" s="369"/>
      <c r="CJ70" s="369"/>
      <c r="CK70" s="369"/>
      <c r="CL70" s="369"/>
      <c r="CM70" s="369"/>
      <c r="CN70" s="369"/>
      <c r="CO70" s="369"/>
      <c r="CP70" s="260"/>
      <c r="CQ70" s="260"/>
      <c r="CR70" s="260"/>
      <c r="CS70" s="260"/>
      <c r="CT70" s="260"/>
      <c r="CU70" s="260"/>
      <c r="CV70" s="260"/>
      <c r="CW70" s="260"/>
      <c r="CX70" s="260"/>
      <c r="CY70" s="260"/>
      <c r="CZ70" s="260"/>
      <c r="DA70" s="37"/>
      <c r="DB70" s="37"/>
      <c r="DC70" s="260"/>
      <c r="DD70" s="260"/>
      <c r="DE70" s="260"/>
      <c r="DF70" s="260"/>
      <c r="DG70" s="260"/>
      <c r="DH70" s="260"/>
      <c r="DI70" s="260"/>
      <c r="DJ70" s="260"/>
      <c r="DK70" s="260"/>
      <c r="DL70" s="260"/>
      <c r="DM70" s="260"/>
      <c r="DN70" s="260"/>
      <c r="DO70" s="260"/>
      <c r="DP70" s="260"/>
      <c r="DQ70" s="260"/>
      <c r="DR70" s="260"/>
      <c r="DS70" s="260"/>
      <c r="DT70" s="260"/>
      <c r="DU70" s="260"/>
      <c r="DV70" s="260"/>
      <c r="DW70" s="260"/>
      <c r="DX70" s="260"/>
      <c r="DY70" s="46"/>
      <c r="DZ70" s="64"/>
      <c r="EA70" s="37"/>
      <c r="EB70" s="373" t="s">
        <v>141</v>
      </c>
      <c r="EC70" s="374"/>
      <c r="ED70" s="374"/>
      <c r="EE70" s="374"/>
      <c r="EF70" s="374"/>
      <c r="EG70" s="374"/>
      <c r="EH70" s="374"/>
      <c r="EI70" s="374"/>
      <c r="EJ70" s="374"/>
      <c r="EK70" s="374"/>
      <c r="EL70" s="374"/>
      <c r="EM70" s="374"/>
      <c r="EN70" s="374"/>
      <c r="EO70" s="374"/>
      <c r="EP70" s="374"/>
      <c r="EQ70" s="374"/>
      <c r="ER70" s="374"/>
      <c r="ES70" s="374"/>
      <c r="ET70" s="374"/>
      <c r="EU70" s="374"/>
      <c r="EV70" s="374"/>
      <c r="EW70" s="64"/>
      <c r="EX70" s="369"/>
      <c r="EY70" s="369"/>
      <c r="EZ70" s="369"/>
      <c r="FA70" s="369"/>
      <c r="FB70" s="369"/>
      <c r="FC70" s="369"/>
      <c r="FD70" s="369"/>
      <c r="FE70" s="369"/>
      <c r="FF70" s="369"/>
      <c r="FG70" s="369"/>
      <c r="FH70" s="369"/>
      <c r="FI70" s="369"/>
      <c r="FJ70" s="369"/>
      <c r="FK70" s="369"/>
      <c r="FL70" s="369"/>
      <c r="FM70" s="369"/>
      <c r="FN70" s="369"/>
      <c r="FO70" s="369"/>
      <c r="FP70" s="369"/>
      <c r="FQ70" s="369"/>
      <c r="FR70" s="369"/>
      <c r="FS70" s="369"/>
      <c r="FT70" s="369"/>
      <c r="FU70" s="369"/>
      <c r="FV70" s="369"/>
      <c r="FW70" s="369"/>
      <c r="FX70" s="369"/>
      <c r="FY70" s="369"/>
      <c r="FZ70" s="369"/>
      <c r="GA70" s="369"/>
      <c r="GB70" s="369"/>
      <c r="GC70" s="369"/>
      <c r="GD70" s="369"/>
      <c r="GE70" s="369"/>
      <c r="GF70" s="369"/>
      <c r="GG70" s="369"/>
      <c r="GH70" s="369"/>
    </row>
    <row r="71" spans="1:190" ht="9.9499999999999993" customHeight="1" x14ac:dyDescent="0.2">
      <c r="A71" s="37"/>
      <c r="B71" s="37"/>
      <c r="C71" s="37"/>
      <c r="D71" s="37"/>
      <c r="E71" s="37"/>
      <c r="F71" s="37"/>
      <c r="G71" s="37"/>
      <c r="H71" s="37"/>
      <c r="I71" s="284" t="s">
        <v>78</v>
      </c>
      <c r="J71" s="284"/>
      <c r="K71" s="284"/>
      <c r="L71" s="284"/>
      <c r="M71" s="284"/>
      <c r="N71" s="284"/>
      <c r="O71" s="284"/>
      <c r="P71" s="284"/>
      <c r="Q71" s="284"/>
      <c r="R71" s="284"/>
      <c r="S71" s="84"/>
      <c r="T71" s="84"/>
      <c r="U71" s="284"/>
      <c r="V71" s="284"/>
      <c r="W71" s="284"/>
      <c r="X71" s="284"/>
      <c r="Y71" s="284"/>
      <c r="Z71" s="284"/>
      <c r="AA71" s="284"/>
      <c r="AB71" s="284"/>
      <c r="AC71" s="284"/>
      <c r="AD71" s="284"/>
      <c r="AE71" s="284"/>
      <c r="AF71" s="84"/>
      <c r="AG71" s="84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75"/>
      <c r="BO71" s="64"/>
      <c r="BP71" s="369"/>
      <c r="BQ71" s="369"/>
      <c r="BR71" s="369"/>
      <c r="BS71" s="369"/>
      <c r="BT71" s="369"/>
      <c r="BU71" s="369"/>
      <c r="BV71" s="369"/>
      <c r="BW71" s="369"/>
      <c r="BX71" s="369"/>
      <c r="BY71" s="369"/>
      <c r="BZ71" s="369"/>
      <c r="CA71" s="369"/>
      <c r="CB71" s="369"/>
      <c r="CC71" s="369"/>
      <c r="CD71" s="369"/>
      <c r="CE71" s="369"/>
      <c r="CF71" s="369"/>
      <c r="CG71" s="369"/>
      <c r="CH71" s="369"/>
      <c r="CI71" s="369"/>
      <c r="CJ71" s="369"/>
      <c r="CK71" s="369"/>
      <c r="CL71" s="369"/>
      <c r="CM71" s="369"/>
      <c r="CN71" s="369"/>
      <c r="CO71" s="369"/>
      <c r="CP71" s="370"/>
      <c r="CQ71" s="370"/>
      <c r="CR71" s="370"/>
      <c r="CS71" s="370"/>
      <c r="CT71" s="370"/>
      <c r="CU71" s="370"/>
      <c r="CV71" s="370"/>
      <c r="CW71" s="370"/>
      <c r="CX71" s="370"/>
      <c r="CY71" s="370"/>
      <c r="CZ71" s="370"/>
      <c r="DA71" s="84"/>
      <c r="DB71" s="84"/>
      <c r="DC71" s="370"/>
      <c r="DD71" s="370"/>
      <c r="DE71" s="370"/>
      <c r="DF71" s="370"/>
      <c r="DG71" s="370"/>
      <c r="DH71" s="370"/>
      <c r="DI71" s="370"/>
      <c r="DJ71" s="370"/>
      <c r="DK71" s="370"/>
      <c r="DL71" s="370"/>
      <c r="DM71" s="370"/>
      <c r="DN71" s="370"/>
      <c r="DO71" s="370"/>
      <c r="DP71" s="370"/>
      <c r="DQ71" s="370"/>
      <c r="DR71" s="370"/>
      <c r="DS71" s="370"/>
      <c r="DT71" s="370"/>
      <c r="DU71" s="370"/>
      <c r="DV71" s="370"/>
      <c r="DW71" s="370"/>
      <c r="DX71" s="370"/>
      <c r="DY71" s="60"/>
      <c r="DZ71" s="64"/>
      <c r="EA71" s="37"/>
      <c r="EB71" s="373"/>
      <c r="EC71" s="374"/>
      <c r="ED71" s="374"/>
      <c r="EE71" s="374"/>
      <c r="EF71" s="374"/>
      <c r="EG71" s="374"/>
      <c r="EH71" s="374"/>
      <c r="EI71" s="374"/>
      <c r="EJ71" s="374"/>
      <c r="EK71" s="374"/>
      <c r="EL71" s="374"/>
      <c r="EM71" s="374"/>
      <c r="EN71" s="374"/>
      <c r="EO71" s="374"/>
      <c r="EP71" s="374"/>
      <c r="EQ71" s="374"/>
      <c r="ER71" s="374"/>
      <c r="ES71" s="374"/>
      <c r="ET71" s="374"/>
      <c r="EU71" s="374"/>
      <c r="EV71" s="374"/>
      <c r="EW71" s="64"/>
      <c r="EX71" s="369"/>
      <c r="EY71" s="369"/>
      <c r="EZ71" s="369"/>
      <c r="FA71" s="369"/>
      <c r="FB71" s="369"/>
      <c r="FC71" s="369"/>
      <c r="FD71" s="369"/>
      <c r="FE71" s="369"/>
      <c r="FF71" s="369"/>
      <c r="FG71" s="369"/>
      <c r="FH71" s="369"/>
      <c r="FI71" s="369"/>
      <c r="FJ71" s="369"/>
      <c r="FK71" s="369"/>
      <c r="FL71" s="369"/>
      <c r="FM71" s="369"/>
      <c r="FN71" s="369"/>
      <c r="FO71" s="369"/>
      <c r="FP71" s="369"/>
      <c r="FQ71" s="369"/>
      <c r="FR71" s="369"/>
      <c r="FS71" s="369"/>
      <c r="FT71" s="369"/>
      <c r="FU71" s="369"/>
      <c r="FV71" s="369"/>
      <c r="FW71" s="369"/>
      <c r="FX71" s="369"/>
      <c r="FY71" s="369"/>
      <c r="FZ71" s="369"/>
      <c r="GA71" s="369"/>
      <c r="GB71" s="369"/>
      <c r="GC71" s="369"/>
      <c r="GD71" s="369"/>
      <c r="GE71" s="369"/>
      <c r="GF71" s="369"/>
      <c r="GG71" s="369"/>
      <c r="GH71" s="369"/>
    </row>
    <row r="72" spans="1:190" ht="9.9499999999999993" customHeight="1" x14ac:dyDescent="0.2">
      <c r="A72" s="37"/>
      <c r="B72" s="37"/>
      <c r="C72" s="37"/>
      <c r="D72" s="37"/>
      <c r="E72" s="37"/>
      <c r="F72" s="37"/>
      <c r="G72" s="37"/>
      <c r="H72" s="37"/>
      <c r="I72" s="285"/>
      <c r="J72" s="285"/>
      <c r="K72" s="285"/>
      <c r="L72" s="285"/>
      <c r="M72" s="285"/>
      <c r="N72" s="285"/>
      <c r="O72" s="285"/>
      <c r="P72" s="285"/>
      <c r="Q72" s="285"/>
      <c r="R72" s="285"/>
      <c r="S72" s="85"/>
      <c r="T72" s="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85"/>
      <c r="AG72" s="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75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37"/>
      <c r="CD72" s="37"/>
      <c r="CE72" s="37"/>
      <c r="CF72" s="37"/>
      <c r="CG72" s="37"/>
      <c r="CH72" s="37"/>
      <c r="CI72" s="37"/>
      <c r="CJ72" s="37"/>
      <c r="CK72" s="37"/>
      <c r="CL72" s="60"/>
      <c r="CM72" s="60"/>
      <c r="CN72" s="60"/>
      <c r="CO72" s="60"/>
      <c r="CP72" s="299" t="s">
        <v>79</v>
      </c>
      <c r="CQ72" s="299"/>
      <c r="CR72" s="299"/>
      <c r="CS72" s="299"/>
      <c r="CT72" s="299"/>
      <c r="CU72" s="299"/>
      <c r="CV72" s="299"/>
      <c r="CW72" s="299"/>
      <c r="CX72" s="299"/>
      <c r="CY72" s="299"/>
      <c r="CZ72" s="299"/>
      <c r="DA72" s="48"/>
      <c r="DB72" s="48"/>
      <c r="DC72" s="299" t="s">
        <v>80</v>
      </c>
      <c r="DD72" s="299"/>
      <c r="DE72" s="299"/>
      <c r="DF72" s="299"/>
      <c r="DG72" s="299"/>
      <c r="DH72" s="299"/>
      <c r="DI72" s="299"/>
      <c r="DJ72" s="299"/>
      <c r="DK72" s="299"/>
      <c r="DL72" s="299"/>
      <c r="DM72" s="299"/>
      <c r="DN72" s="299"/>
      <c r="DO72" s="299"/>
      <c r="DP72" s="299"/>
      <c r="DQ72" s="299"/>
      <c r="DR72" s="299"/>
      <c r="DS72" s="299"/>
      <c r="DT72" s="299"/>
      <c r="DU72" s="299"/>
      <c r="DV72" s="299"/>
      <c r="DW72" s="299"/>
      <c r="DX72" s="299"/>
      <c r="DY72" s="60"/>
      <c r="DZ72" s="37"/>
      <c r="EA72" s="37"/>
      <c r="EB72" s="373"/>
      <c r="EC72" s="374"/>
      <c r="ED72" s="374"/>
      <c r="EE72" s="374"/>
      <c r="EF72" s="374"/>
      <c r="EG72" s="374"/>
      <c r="EH72" s="374"/>
      <c r="EI72" s="374"/>
      <c r="EJ72" s="374"/>
      <c r="EK72" s="374"/>
      <c r="EL72" s="374"/>
      <c r="EM72" s="374"/>
      <c r="EN72" s="374"/>
      <c r="EO72" s="374"/>
      <c r="EP72" s="374"/>
      <c r="EQ72" s="374"/>
      <c r="ER72" s="374"/>
      <c r="ES72" s="374"/>
      <c r="ET72" s="374"/>
      <c r="EU72" s="374"/>
      <c r="EV72" s="374"/>
      <c r="EW72" s="64"/>
      <c r="EX72" s="370"/>
      <c r="EY72" s="370"/>
      <c r="EZ72" s="370"/>
      <c r="FA72" s="370"/>
      <c r="FB72" s="370"/>
      <c r="FC72" s="370"/>
      <c r="FD72" s="370"/>
      <c r="FE72" s="370"/>
      <c r="FF72" s="370"/>
      <c r="FG72" s="370"/>
      <c r="FH72" s="370"/>
      <c r="FI72" s="370"/>
      <c r="FJ72" s="370"/>
      <c r="FK72" s="370"/>
      <c r="FL72" s="370"/>
      <c r="FM72" s="370"/>
      <c r="FN72" s="370"/>
      <c r="FO72" s="370"/>
      <c r="FP72" s="370"/>
      <c r="FQ72" s="370"/>
      <c r="FR72" s="370"/>
      <c r="FS72" s="370"/>
      <c r="FT72" s="370"/>
      <c r="FU72" s="370"/>
      <c r="FV72" s="370"/>
      <c r="FW72" s="370"/>
      <c r="FX72" s="370"/>
      <c r="FY72" s="370"/>
      <c r="FZ72" s="370"/>
      <c r="GA72" s="370"/>
      <c r="GB72" s="370"/>
      <c r="GC72" s="370"/>
      <c r="GD72" s="370"/>
      <c r="GE72" s="370"/>
      <c r="GF72" s="370"/>
      <c r="GG72" s="370"/>
      <c r="GH72" s="370"/>
    </row>
    <row r="73" spans="1:190" ht="9.9499999999999993" customHeight="1" x14ac:dyDescent="0.2">
      <c r="A73" s="369" t="s">
        <v>142</v>
      </c>
      <c r="B73" s="369"/>
      <c r="C73" s="369"/>
      <c r="D73" s="369"/>
      <c r="E73" s="369"/>
      <c r="F73" s="369"/>
      <c r="G73" s="369"/>
      <c r="H73" s="369"/>
      <c r="I73" s="369"/>
      <c r="J73" s="369"/>
      <c r="K73" s="369"/>
      <c r="L73" s="369"/>
      <c r="M73" s="369"/>
      <c r="N73" s="369"/>
      <c r="O73" s="369"/>
      <c r="P73" s="369"/>
      <c r="Q73" s="369"/>
      <c r="R73" s="369"/>
      <c r="S73" s="369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75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5"/>
      <c r="CQ73" s="375"/>
      <c r="CR73" s="375"/>
      <c r="CS73" s="375"/>
      <c r="CT73" s="375"/>
      <c r="CU73" s="375"/>
      <c r="CV73" s="375"/>
      <c r="CW73" s="375"/>
      <c r="CX73" s="375"/>
      <c r="CY73" s="375"/>
      <c r="CZ73" s="375"/>
      <c r="DA73" s="48"/>
      <c r="DB73" s="48"/>
      <c r="DC73" s="375"/>
      <c r="DD73" s="375"/>
      <c r="DE73" s="375"/>
      <c r="DF73" s="375"/>
      <c r="DG73" s="375"/>
      <c r="DH73" s="375"/>
      <c r="DI73" s="375"/>
      <c r="DJ73" s="375"/>
      <c r="DK73" s="375"/>
      <c r="DL73" s="375"/>
      <c r="DM73" s="375"/>
      <c r="DN73" s="375"/>
      <c r="DO73" s="375"/>
      <c r="DP73" s="375"/>
      <c r="DQ73" s="375"/>
      <c r="DR73" s="375"/>
      <c r="DS73" s="375"/>
      <c r="DT73" s="375"/>
      <c r="DU73" s="375"/>
      <c r="DV73" s="375"/>
      <c r="DW73" s="375"/>
      <c r="DX73" s="375"/>
      <c r="DY73" s="37"/>
      <c r="DZ73" s="37"/>
      <c r="EA73" s="37"/>
      <c r="EB73" s="83"/>
      <c r="EC73" s="369"/>
      <c r="ED73" s="369"/>
      <c r="EE73" s="369"/>
      <c r="EF73" s="369"/>
      <c r="EG73" s="369"/>
      <c r="EH73" s="369"/>
      <c r="EI73" s="369"/>
      <c r="EJ73" s="369"/>
      <c r="EK73" s="369"/>
      <c r="EL73" s="369"/>
      <c r="EM73" s="369"/>
      <c r="EN73" s="369"/>
      <c r="EO73" s="369"/>
      <c r="EP73" s="369"/>
      <c r="EQ73" s="369"/>
      <c r="ER73" s="369"/>
      <c r="ES73" s="369"/>
      <c r="ET73" s="369"/>
      <c r="EU73" s="369"/>
      <c r="EV73" s="369"/>
      <c r="EW73" s="369"/>
      <c r="EX73" s="369"/>
      <c r="EY73" s="369"/>
      <c r="EZ73" s="369"/>
      <c r="FA73" s="369"/>
      <c r="FB73" s="369"/>
      <c r="FC73" s="369"/>
      <c r="FD73" s="369"/>
      <c r="FE73" s="369"/>
      <c r="FF73" s="369"/>
      <c r="FG73" s="369"/>
      <c r="FH73" s="369"/>
      <c r="FI73" s="369"/>
      <c r="FJ73" s="369"/>
      <c r="FK73" s="369"/>
      <c r="FL73" s="369"/>
      <c r="FM73" s="369"/>
      <c r="FN73" s="369"/>
      <c r="FO73" s="369"/>
      <c r="FP73" s="369"/>
      <c r="FQ73" s="369"/>
      <c r="FR73" s="369"/>
      <c r="FS73" s="369"/>
      <c r="FT73" s="369"/>
      <c r="FU73" s="369"/>
      <c r="FV73" s="369"/>
      <c r="FW73" s="369"/>
      <c r="FX73" s="369"/>
      <c r="FY73" s="369"/>
      <c r="FZ73" s="369"/>
      <c r="GA73" s="369"/>
      <c r="GB73" s="369"/>
      <c r="GC73" s="369"/>
      <c r="GD73" s="369"/>
      <c r="GE73" s="369"/>
      <c r="GF73" s="369"/>
      <c r="GG73" s="369"/>
      <c r="GH73" s="369"/>
    </row>
    <row r="74" spans="1:190" ht="9.9499999999999993" customHeight="1" x14ac:dyDescent="0.2">
      <c r="A74" s="369"/>
      <c r="B74" s="369"/>
      <c r="C74" s="369"/>
      <c r="D74" s="369"/>
      <c r="E74" s="369"/>
      <c r="F74" s="369"/>
      <c r="G74" s="369"/>
      <c r="H74" s="369"/>
      <c r="I74" s="369"/>
      <c r="J74" s="369"/>
      <c r="K74" s="369"/>
      <c r="L74" s="369"/>
      <c r="M74" s="369"/>
      <c r="N74" s="369"/>
      <c r="O74" s="369"/>
      <c r="P74" s="369"/>
      <c r="Q74" s="369"/>
      <c r="R74" s="369"/>
      <c r="S74" s="369"/>
      <c r="T74" s="64"/>
      <c r="U74" s="64"/>
      <c r="V74" s="64"/>
      <c r="W74" s="64"/>
      <c r="X74" s="64"/>
      <c r="Y74" s="64"/>
      <c r="Z74" s="64"/>
      <c r="AA74" s="376" t="str">
        <f>FI30</f>
        <v>Жуков С.А.</v>
      </c>
      <c r="AB74" s="376"/>
      <c r="AC74" s="376"/>
      <c r="AD74" s="376"/>
      <c r="AE74" s="376"/>
      <c r="AF74" s="376"/>
      <c r="AG74" s="376"/>
      <c r="AH74" s="376"/>
      <c r="AI74" s="376"/>
      <c r="AJ74" s="376"/>
      <c r="AK74" s="376"/>
      <c r="AL74" s="376"/>
      <c r="AM74" s="376"/>
      <c r="AN74" s="376"/>
      <c r="AO74" s="376"/>
      <c r="AP74" s="376"/>
      <c r="AQ74" s="376"/>
      <c r="AR74" s="376"/>
      <c r="AS74" s="376"/>
      <c r="AT74" s="376"/>
      <c r="AU74" s="376"/>
      <c r="AV74" s="376"/>
      <c r="AW74" s="37"/>
      <c r="AX74" s="37"/>
      <c r="AY74" s="37"/>
      <c r="AZ74" s="37"/>
      <c r="BA74" s="37"/>
      <c r="BB74" s="37"/>
      <c r="BC74" s="86"/>
      <c r="BD74" s="86"/>
      <c r="BE74" s="380" t="s">
        <v>143</v>
      </c>
      <c r="BF74" s="380"/>
      <c r="BG74" s="380"/>
      <c r="BH74" s="380"/>
      <c r="BI74" s="380"/>
      <c r="BJ74" s="380"/>
      <c r="BK74" s="380"/>
      <c r="BL74" s="380"/>
      <c r="BM74" s="380"/>
      <c r="BN74" s="75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80" t="s">
        <v>143</v>
      </c>
      <c r="DS74" s="380"/>
      <c r="DT74" s="380"/>
      <c r="DU74" s="380"/>
      <c r="DV74" s="380"/>
      <c r="DW74" s="380"/>
      <c r="DX74" s="380"/>
      <c r="DY74" s="380"/>
      <c r="DZ74" s="380"/>
      <c r="EA74" s="37"/>
      <c r="EB74" s="83"/>
      <c r="EC74" s="370"/>
      <c r="ED74" s="370"/>
      <c r="EE74" s="370"/>
      <c r="EF74" s="370"/>
      <c r="EG74" s="370"/>
      <c r="EH74" s="370"/>
      <c r="EI74" s="370"/>
      <c r="EJ74" s="370"/>
      <c r="EK74" s="370"/>
      <c r="EL74" s="370"/>
      <c r="EM74" s="370"/>
      <c r="EN74" s="370"/>
      <c r="EO74" s="370"/>
      <c r="EP74" s="370"/>
      <c r="EQ74" s="370"/>
      <c r="ER74" s="370"/>
      <c r="ES74" s="370"/>
      <c r="ET74" s="370"/>
      <c r="EU74" s="370"/>
      <c r="EV74" s="370"/>
      <c r="EW74" s="370"/>
      <c r="EX74" s="370"/>
      <c r="EY74" s="370"/>
      <c r="EZ74" s="370"/>
      <c r="FA74" s="370"/>
      <c r="FB74" s="370"/>
      <c r="FC74" s="370"/>
      <c r="FD74" s="370"/>
      <c r="FE74" s="370"/>
      <c r="FF74" s="370"/>
      <c r="FG74" s="370"/>
      <c r="FH74" s="370"/>
      <c r="FI74" s="370"/>
      <c r="FJ74" s="370"/>
      <c r="FK74" s="370"/>
      <c r="FL74" s="370"/>
      <c r="FM74" s="370"/>
      <c r="FN74" s="370"/>
      <c r="FO74" s="370"/>
      <c r="FP74" s="370"/>
      <c r="FQ74" s="370"/>
      <c r="FR74" s="370"/>
      <c r="FS74" s="370"/>
      <c r="FT74" s="370"/>
      <c r="FU74" s="370"/>
      <c r="FV74" s="370"/>
      <c r="FW74" s="370"/>
      <c r="FX74" s="370"/>
      <c r="FY74" s="370"/>
      <c r="FZ74" s="370"/>
      <c r="GA74" s="370"/>
      <c r="GB74" s="370"/>
      <c r="GC74" s="370"/>
      <c r="GD74" s="370"/>
      <c r="GE74" s="370"/>
      <c r="GF74" s="370"/>
      <c r="GG74" s="370"/>
      <c r="GH74" s="370"/>
    </row>
    <row r="75" spans="1:190" ht="9.9499999999999993" customHeight="1" x14ac:dyDescent="0.2">
      <c r="A75" s="64" t="s">
        <v>144</v>
      </c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249"/>
      <c r="O75" s="249"/>
      <c r="P75" s="249"/>
      <c r="Q75" s="249"/>
      <c r="R75" s="249"/>
      <c r="S75" s="249"/>
      <c r="T75" s="249"/>
      <c r="U75" s="249"/>
      <c r="V75" s="249"/>
      <c r="W75" s="249"/>
      <c r="X75" s="249"/>
      <c r="Y75" s="64"/>
      <c r="Z75" s="64"/>
      <c r="AA75" s="376"/>
      <c r="AB75" s="376"/>
      <c r="AC75" s="376"/>
      <c r="AD75" s="376"/>
      <c r="AE75" s="376"/>
      <c r="AF75" s="376"/>
      <c r="AG75" s="376"/>
      <c r="AH75" s="376"/>
      <c r="AI75" s="376"/>
      <c r="AJ75" s="376"/>
      <c r="AK75" s="376"/>
      <c r="AL75" s="376"/>
      <c r="AM75" s="376"/>
      <c r="AN75" s="376"/>
      <c r="AO75" s="376"/>
      <c r="AP75" s="376"/>
      <c r="AQ75" s="376"/>
      <c r="AR75" s="376"/>
      <c r="AS75" s="376"/>
      <c r="AT75" s="376"/>
      <c r="AU75" s="376"/>
      <c r="AV75" s="376"/>
      <c r="AW75" s="37"/>
      <c r="AX75" s="37"/>
      <c r="AY75" s="37"/>
      <c r="AZ75" s="37"/>
      <c r="BA75" s="37"/>
      <c r="BB75" s="37"/>
      <c r="BC75" s="86"/>
      <c r="BD75" s="86"/>
      <c r="BE75" s="380"/>
      <c r="BF75" s="380"/>
      <c r="BG75" s="380"/>
      <c r="BH75" s="380"/>
      <c r="BI75" s="380"/>
      <c r="BJ75" s="380"/>
      <c r="BK75" s="380"/>
      <c r="BL75" s="380"/>
      <c r="BM75" s="380"/>
      <c r="BN75" s="75"/>
      <c r="BO75" s="64"/>
      <c r="BP75" s="87" t="s">
        <v>145</v>
      </c>
      <c r="BQ75" s="64"/>
      <c r="BR75" s="64"/>
      <c r="BS75" s="64"/>
      <c r="BT75" s="64"/>
      <c r="BU75" s="64"/>
      <c r="BV75" s="64"/>
      <c r="BW75" s="64"/>
      <c r="BX75" s="64"/>
      <c r="BY75" s="250"/>
      <c r="BZ75" s="250"/>
      <c r="CA75" s="250"/>
      <c r="CB75" s="250"/>
      <c r="CC75" s="250"/>
      <c r="CD75" s="250"/>
      <c r="CE75" s="250"/>
      <c r="CF75" s="250"/>
      <c r="CG75" s="250"/>
      <c r="CH75" s="250"/>
      <c r="CI75" s="250"/>
      <c r="CJ75" s="250"/>
      <c r="CK75" s="250"/>
      <c r="CL75" s="64"/>
      <c r="CM75" s="250"/>
      <c r="CN75" s="250"/>
      <c r="CO75" s="250"/>
      <c r="CP75" s="250"/>
      <c r="CQ75" s="250"/>
      <c r="CR75" s="250"/>
      <c r="CS75" s="250"/>
      <c r="CT75" s="250"/>
      <c r="CU75" s="250"/>
      <c r="CV75" s="250"/>
      <c r="CW75" s="250"/>
      <c r="CX75" s="250"/>
      <c r="CY75" s="64"/>
      <c r="CZ75" s="250"/>
      <c r="DA75" s="250"/>
      <c r="DB75" s="250"/>
      <c r="DC75" s="250"/>
      <c r="DD75" s="250"/>
      <c r="DE75" s="250"/>
      <c r="DF75" s="250"/>
      <c r="DG75" s="250"/>
      <c r="DH75" s="250"/>
      <c r="DI75" s="250"/>
      <c r="DJ75" s="250"/>
      <c r="DK75" s="250"/>
      <c r="DL75" s="250"/>
      <c r="DM75" s="250"/>
      <c r="DN75" s="250"/>
      <c r="DO75" s="250"/>
      <c r="DP75" s="250"/>
      <c r="DQ75" s="88"/>
      <c r="DR75" s="380"/>
      <c r="DS75" s="380"/>
      <c r="DT75" s="380"/>
      <c r="DU75" s="380"/>
      <c r="DV75" s="380"/>
      <c r="DW75" s="380"/>
      <c r="DX75" s="380"/>
      <c r="DY75" s="380"/>
      <c r="DZ75" s="380"/>
      <c r="EA75" s="89"/>
      <c r="EB75" s="83"/>
      <c r="EC75" s="377"/>
      <c r="ED75" s="377"/>
      <c r="EE75" s="377"/>
      <c r="EF75" s="377"/>
      <c r="EG75" s="377"/>
      <c r="EH75" s="377"/>
      <c r="EI75" s="377"/>
      <c r="EJ75" s="377"/>
      <c r="EK75" s="377"/>
      <c r="EL75" s="377"/>
      <c r="EM75" s="377"/>
      <c r="EN75" s="377"/>
      <c r="EO75" s="377"/>
      <c r="EP75" s="377"/>
      <c r="EQ75" s="377"/>
      <c r="ER75" s="377"/>
      <c r="ES75" s="377"/>
      <c r="ET75" s="377"/>
      <c r="EU75" s="377"/>
      <c r="EV75" s="377"/>
      <c r="EW75" s="377"/>
      <c r="EX75" s="377"/>
      <c r="EY75" s="377"/>
      <c r="EZ75" s="377"/>
      <c r="FA75" s="377"/>
      <c r="FB75" s="377"/>
      <c r="FC75" s="377"/>
      <c r="FD75" s="377"/>
      <c r="FE75" s="377"/>
      <c r="FF75" s="377"/>
      <c r="FG75" s="377"/>
      <c r="FH75" s="377"/>
      <c r="FI75" s="377"/>
      <c r="FJ75" s="377"/>
      <c r="FK75" s="377"/>
      <c r="FL75" s="377"/>
      <c r="FM75" s="377"/>
      <c r="FN75" s="377"/>
      <c r="FO75" s="377"/>
      <c r="FP75" s="377"/>
      <c r="FQ75" s="377"/>
      <c r="FR75" s="377"/>
      <c r="FS75" s="377"/>
      <c r="FT75" s="377"/>
      <c r="FU75" s="377"/>
      <c r="FV75" s="377"/>
      <c r="FW75" s="377"/>
      <c r="FX75" s="377"/>
      <c r="FY75" s="377"/>
      <c r="FZ75" s="377"/>
      <c r="GA75" s="377"/>
      <c r="GB75" s="377"/>
      <c r="GC75" s="377"/>
      <c r="GD75" s="377"/>
      <c r="GE75" s="377"/>
      <c r="GF75" s="377"/>
      <c r="GG75" s="377"/>
      <c r="GH75" s="377"/>
    </row>
    <row r="76" spans="1:190" ht="7.9" customHeight="1" thickBot="1" x14ac:dyDescent="0.25">
      <c r="A76" s="90"/>
      <c r="B76" s="90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378"/>
      <c r="O76" s="378"/>
      <c r="P76" s="378"/>
      <c r="Q76" s="378"/>
      <c r="R76" s="378"/>
      <c r="S76" s="378"/>
      <c r="T76" s="378"/>
      <c r="U76" s="378"/>
      <c r="V76" s="378"/>
      <c r="W76" s="378"/>
      <c r="X76" s="378"/>
      <c r="Y76" s="91"/>
      <c r="Z76" s="91"/>
      <c r="AA76" s="378"/>
      <c r="AB76" s="378"/>
      <c r="AC76" s="378"/>
      <c r="AD76" s="378"/>
      <c r="AE76" s="378"/>
      <c r="AF76" s="378"/>
      <c r="AG76" s="378"/>
      <c r="AH76" s="378"/>
      <c r="AI76" s="378"/>
      <c r="AJ76" s="378"/>
      <c r="AK76" s="378"/>
      <c r="AL76" s="378"/>
      <c r="AM76" s="378"/>
      <c r="AN76" s="378"/>
      <c r="AO76" s="378"/>
      <c r="AP76" s="378"/>
      <c r="AQ76" s="378"/>
      <c r="AR76" s="378"/>
      <c r="AS76" s="378"/>
      <c r="AT76" s="378"/>
      <c r="AU76" s="378"/>
      <c r="AV76" s="378"/>
      <c r="AW76" s="90"/>
      <c r="AX76" s="90"/>
      <c r="AY76" s="92"/>
      <c r="AZ76" s="90"/>
      <c r="BA76" s="37"/>
      <c r="BB76" s="37"/>
      <c r="BC76" s="86"/>
      <c r="BD76" s="86"/>
      <c r="BE76" s="380"/>
      <c r="BF76" s="380"/>
      <c r="BG76" s="380"/>
      <c r="BH76" s="380"/>
      <c r="BI76" s="380"/>
      <c r="BJ76" s="380"/>
      <c r="BK76" s="380"/>
      <c r="BL76" s="380"/>
      <c r="BM76" s="380"/>
      <c r="BN76" s="75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379" t="s">
        <v>78</v>
      </c>
      <c r="BZ76" s="379"/>
      <c r="CA76" s="379"/>
      <c r="CB76" s="379"/>
      <c r="CC76" s="379"/>
      <c r="CD76" s="379"/>
      <c r="CE76" s="379"/>
      <c r="CF76" s="379"/>
      <c r="CG76" s="379"/>
      <c r="CH76" s="379"/>
      <c r="CI76" s="379"/>
      <c r="CJ76" s="379"/>
      <c r="CK76" s="379"/>
      <c r="CL76" s="93"/>
      <c r="CM76" s="379" t="s">
        <v>79</v>
      </c>
      <c r="CN76" s="379"/>
      <c r="CO76" s="379"/>
      <c r="CP76" s="379"/>
      <c r="CQ76" s="379"/>
      <c r="CR76" s="379"/>
      <c r="CS76" s="379"/>
      <c r="CT76" s="379"/>
      <c r="CU76" s="379"/>
      <c r="CV76" s="379"/>
      <c r="CW76" s="379"/>
      <c r="CX76" s="379"/>
      <c r="CY76" s="93"/>
      <c r="CZ76" s="379" t="s">
        <v>80</v>
      </c>
      <c r="DA76" s="379"/>
      <c r="DB76" s="379"/>
      <c r="DC76" s="379"/>
      <c r="DD76" s="379"/>
      <c r="DE76" s="379"/>
      <c r="DF76" s="379"/>
      <c r="DG76" s="379"/>
      <c r="DH76" s="379"/>
      <c r="DI76" s="379"/>
      <c r="DJ76" s="379"/>
      <c r="DK76" s="379"/>
      <c r="DL76" s="379"/>
      <c r="DM76" s="379"/>
      <c r="DN76" s="379"/>
      <c r="DO76" s="379"/>
      <c r="DP76" s="379"/>
      <c r="DQ76" s="88"/>
      <c r="DR76" s="380"/>
      <c r="DS76" s="380"/>
      <c r="DT76" s="380"/>
      <c r="DU76" s="380"/>
      <c r="DV76" s="380"/>
      <c r="DW76" s="380"/>
      <c r="DX76" s="380"/>
      <c r="DY76" s="380"/>
      <c r="DZ76" s="380"/>
      <c r="EA76" s="89"/>
      <c r="EB76" s="83"/>
      <c r="EC76" s="369"/>
      <c r="ED76" s="369"/>
      <c r="EE76" s="369"/>
      <c r="EF76" s="369"/>
      <c r="EG76" s="369"/>
      <c r="EH76" s="369"/>
      <c r="EI76" s="369"/>
      <c r="EJ76" s="369"/>
      <c r="EK76" s="369"/>
      <c r="EL76" s="369"/>
      <c r="EM76" s="369"/>
      <c r="EN76" s="369"/>
      <c r="EO76" s="369"/>
      <c r="EP76" s="369"/>
      <c r="EQ76" s="369"/>
      <c r="ER76" s="369"/>
      <c r="ES76" s="369"/>
      <c r="ET76" s="369"/>
      <c r="EU76" s="369"/>
      <c r="EV76" s="369"/>
      <c r="EW76" s="369"/>
      <c r="EX76" s="369"/>
      <c r="EY76" s="369"/>
      <c r="EZ76" s="369"/>
      <c r="FA76" s="369"/>
      <c r="FB76" s="369"/>
      <c r="FC76" s="369"/>
      <c r="FD76" s="369"/>
      <c r="FE76" s="369"/>
      <c r="FF76" s="369"/>
      <c r="FG76" s="369"/>
      <c r="FH76" s="369"/>
      <c r="FI76" s="369"/>
      <c r="FJ76" s="369"/>
      <c r="FK76" s="369"/>
      <c r="FL76" s="369"/>
      <c r="FM76" s="369"/>
      <c r="FN76" s="369"/>
      <c r="FO76" s="369"/>
      <c r="FP76" s="369"/>
      <c r="FQ76" s="369"/>
      <c r="FR76" s="369"/>
      <c r="FS76" s="369"/>
      <c r="FT76" s="369"/>
      <c r="FU76" s="369"/>
      <c r="FV76" s="369"/>
      <c r="FW76" s="369"/>
      <c r="FX76" s="369"/>
      <c r="FY76" s="369"/>
      <c r="FZ76" s="369"/>
      <c r="GA76" s="369"/>
      <c r="GB76" s="369"/>
      <c r="GC76" s="369"/>
      <c r="GD76" s="369"/>
      <c r="GE76" s="369"/>
      <c r="GF76" s="369"/>
      <c r="GG76" s="369"/>
      <c r="GH76" s="369"/>
    </row>
    <row r="77" spans="1:190" ht="9.9499999999999993" customHeight="1" thickTop="1" x14ac:dyDescent="0.2">
      <c r="A77" s="381" t="s">
        <v>146</v>
      </c>
      <c r="B77" s="382"/>
      <c r="C77" s="382"/>
      <c r="D77" s="382"/>
      <c r="E77" s="382"/>
      <c r="F77" s="382"/>
      <c r="G77" s="382"/>
      <c r="H77" s="382"/>
      <c r="I77" s="382"/>
      <c r="J77" s="382"/>
      <c r="K77" s="382"/>
      <c r="L77" s="382"/>
      <c r="M77" s="382"/>
      <c r="N77" s="382"/>
      <c r="O77" s="382"/>
      <c r="P77" s="382"/>
      <c r="Q77" s="382"/>
      <c r="R77" s="382"/>
      <c r="S77" s="382"/>
      <c r="T77" s="382"/>
      <c r="U77" s="382"/>
      <c r="V77" s="382"/>
      <c r="W77" s="382"/>
      <c r="X77" s="382"/>
      <c r="Y77" s="382"/>
      <c r="Z77" s="382"/>
      <c r="AA77" s="382"/>
      <c r="AB77" s="382"/>
      <c r="AC77" s="382"/>
      <c r="AD77" s="382"/>
      <c r="AE77" s="382"/>
      <c r="AF77" s="382"/>
      <c r="AG77" s="382"/>
      <c r="AH77" s="382"/>
      <c r="AI77" s="382"/>
      <c r="AJ77" s="382"/>
      <c r="AK77" s="382"/>
      <c r="AL77" s="382"/>
      <c r="AM77" s="382"/>
      <c r="AN77" s="382"/>
      <c r="AO77" s="382"/>
      <c r="AP77" s="382"/>
      <c r="AQ77" s="382"/>
      <c r="AR77" s="382"/>
      <c r="AS77" s="382"/>
      <c r="AT77" s="382"/>
      <c r="AU77" s="382"/>
      <c r="AV77" s="382"/>
      <c r="AW77" s="382"/>
      <c r="AX77" s="382"/>
      <c r="AY77" s="382"/>
      <c r="AZ77" s="382"/>
      <c r="BA77" s="383"/>
      <c r="BB77" s="383"/>
      <c r="BC77" s="383"/>
      <c r="BD77" s="383"/>
      <c r="BE77" s="383"/>
      <c r="BF77" s="383"/>
      <c r="BG77" s="383"/>
      <c r="BH77" s="383"/>
      <c r="BI77" s="383"/>
      <c r="BJ77" s="383"/>
      <c r="BK77" s="383"/>
      <c r="BL77" s="383"/>
      <c r="BM77" s="383"/>
      <c r="BN77" s="383"/>
      <c r="BO77" s="383"/>
      <c r="BP77" s="383"/>
      <c r="BQ77" s="383"/>
      <c r="BR77" s="383"/>
      <c r="BS77" s="383"/>
      <c r="BT77" s="383"/>
      <c r="BU77" s="383"/>
      <c r="BV77" s="383"/>
      <c r="BW77" s="383"/>
      <c r="BX77" s="383"/>
      <c r="BY77" s="383"/>
      <c r="BZ77" s="383"/>
      <c r="CA77" s="383"/>
      <c r="CB77" s="383"/>
      <c r="CC77" s="383"/>
      <c r="CD77" s="383"/>
      <c r="CE77" s="383"/>
      <c r="CF77" s="383"/>
      <c r="CG77" s="383"/>
      <c r="CH77" s="383"/>
      <c r="CI77" s="383"/>
      <c r="CJ77" s="383"/>
      <c r="CK77" s="383"/>
      <c r="CL77" s="383"/>
      <c r="CM77" s="383"/>
      <c r="CN77" s="383"/>
      <c r="CO77" s="383"/>
      <c r="CP77" s="383"/>
      <c r="CQ77" s="383"/>
      <c r="CR77" s="383"/>
      <c r="CS77" s="383"/>
      <c r="CT77" s="383"/>
      <c r="CU77" s="383"/>
      <c r="CV77" s="383"/>
      <c r="CW77" s="383"/>
      <c r="CX77" s="383"/>
      <c r="CY77" s="383"/>
      <c r="CZ77" s="383"/>
      <c r="DA77" s="383"/>
      <c r="DB77" s="383"/>
      <c r="DC77" s="383"/>
      <c r="DD77" s="383"/>
      <c r="DE77" s="383"/>
      <c r="DF77" s="383"/>
      <c r="DG77" s="383"/>
      <c r="DH77" s="383"/>
      <c r="DI77" s="383"/>
      <c r="DJ77" s="383"/>
      <c r="DK77" s="383"/>
      <c r="DL77" s="383"/>
      <c r="DM77" s="383"/>
      <c r="DN77" s="383"/>
      <c r="DO77" s="383"/>
      <c r="DP77" s="383"/>
      <c r="DQ77" s="383"/>
      <c r="DR77" s="383"/>
      <c r="DS77" s="383"/>
      <c r="DT77" s="383"/>
      <c r="DU77" s="383"/>
      <c r="DV77" s="383"/>
      <c r="DW77" s="383"/>
      <c r="DX77" s="383"/>
      <c r="DY77" s="383"/>
      <c r="DZ77" s="383"/>
      <c r="EA77" s="383"/>
      <c r="EB77" s="383"/>
      <c r="EC77" s="383"/>
      <c r="ED77" s="383"/>
      <c r="EE77" s="383"/>
      <c r="EF77" s="383"/>
      <c r="EG77" s="383"/>
      <c r="EH77" s="383"/>
      <c r="EI77" s="383"/>
      <c r="EJ77" s="383"/>
      <c r="EK77" s="383"/>
      <c r="EL77" s="383"/>
      <c r="EM77" s="383"/>
      <c r="EN77" s="383"/>
      <c r="EO77" s="383"/>
      <c r="EP77" s="383"/>
      <c r="EQ77" s="383"/>
      <c r="ER77" s="383"/>
      <c r="ES77" s="383"/>
      <c r="ET77" s="383"/>
      <c r="EU77" s="383"/>
      <c r="EV77" s="383"/>
      <c r="EW77" s="383"/>
      <c r="EX77" s="383"/>
      <c r="EY77" s="383"/>
      <c r="EZ77" s="383"/>
      <c r="FA77" s="383"/>
      <c r="FB77" s="383"/>
      <c r="FC77" s="383"/>
      <c r="FD77" s="383"/>
      <c r="FE77" s="383"/>
      <c r="FF77" s="383"/>
      <c r="FG77" s="383"/>
      <c r="FH77" s="383"/>
      <c r="FI77" s="383"/>
      <c r="FJ77" s="383"/>
      <c r="FK77" s="383"/>
      <c r="FL77" s="383"/>
      <c r="FM77" s="383"/>
      <c r="FN77" s="383"/>
      <c r="FO77" s="383"/>
      <c r="FP77" s="383"/>
      <c r="FQ77" s="383"/>
      <c r="FR77" s="383"/>
      <c r="FS77" s="383"/>
      <c r="FT77" s="383"/>
      <c r="FU77" s="383"/>
      <c r="FV77" s="383"/>
      <c r="FW77" s="383"/>
      <c r="FX77" s="383"/>
      <c r="FY77" s="383"/>
      <c r="FZ77" s="383"/>
      <c r="GA77" s="383"/>
      <c r="GB77" s="383"/>
      <c r="GC77" s="383"/>
      <c r="GD77" s="383"/>
      <c r="GE77" s="383"/>
      <c r="GF77" s="383"/>
      <c r="GG77" s="383"/>
      <c r="GH77" s="384"/>
    </row>
    <row r="78" spans="1:190" ht="9.9499999999999993" customHeight="1" x14ac:dyDescent="0.2">
      <c r="A78" s="385" t="s">
        <v>147</v>
      </c>
      <c r="B78" s="386"/>
      <c r="C78" s="386"/>
      <c r="D78" s="386"/>
      <c r="E78" s="386"/>
      <c r="F78" s="386"/>
      <c r="G78" s="386"/>
      <c r="H78" s="386"/>
      <c r="I78" s="386"/>
      <c r="J78" s="387"/>
      <c r="K78" s="391" t="s">
        <v>148</v>
      </c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  <c r="AC78" s="207"/>
      <c r="AD78" s="207"/>
      <c r="AE78" s="207"/>
      <c r="AF78" s="207"/>
      <c r="AG78" s="207"/>
      <c r="AH78" s="207"/>
      <c r="AI78" s="207"/>
      <c r="AJ78" s="208"/>
      <c r="AK78" s="391" t="s">
        <v>149</v>
      </c>
      <c r="AL78" s="207"/>
      <c r="AM78" s="207"/>
      <c r="AN78" s="207"/>
      <c r="AO78" s="207"/>
      <c r="AP78" s="207"/>
      <c r="AQ78" s="207"/>
      <c r="AR78" s="207"/>
      <c r="AS78" s="207"/>
      <c r="AT78" s="207"/>
      <c r="AU78" s="207"/>
      <c r="AV78" s="207"/>
      <c r="AW78" s="207"/>
      <c r="AX78" s="207"/>
      <c r="AY78" s="207"/>
      <c r="AZ78" s="207"/>
      <c r="BA78" s="207"/>
      <c r="BB78" s="207"/>
      <c r="BC78" s="207"/>
      <c r="BD78" s="207"/>
      <c r="BE78" s="207"/>
      <c r="BF78" s="207"/>
      <c r="BG78" s="207"/>
      <c r="BH78" s="207"/>
      <c r="BI78" s="207"/>
      <c r="BJ78" s="208"/>
      <c r="BK78" s="391" t="s">
        <v>150</v>
      </c>
      <c r="BL78" s="207"/>
      <c r="BM78" s="207"/>
      <c r="BN78" s="207"/>
      <c r="BO78" s="207"/>
      <c r="BP78" s="207"/>
      <c r="BQ78" s="207"/>
      <c r="BR78" s="207"/>
      <c r="BS78" s="207"/>
      <c r="BT78" s="207"/>
      <c r="BU78" s="207"/>
      <c r="BV78" s="207"/>
      <c r="BW78" s="207"/>
      <c r="BX78" s="207"/>
      <c r="BY78" s="207"/>
      <c r="BZ78" s="207"/>
      <c r="CA78" s="207"/>
      <c r="CB78" s="207"/>
      <c r="CC78" s="207"/>
      <c r="CD78" s="207"/>
      <c r="CE78" s="207"/>
      <c r="CF78" s="207"/>
      <c r="CG78" s="207"/>
      <c r="CH78" s="207"/>
      <c r="CI78" s="207"/>
      <c r="CJ78" s="207"/>
      <c r="CK78" s="207"/>
      <c r="CL78" s="208"/>
      <c r="CM78" s="393" t="s">
        <v>151</v>
      </c>
      <c r="CN78" s="394"/>
      <c r="CO78" s="394"/>
      <c r="CP78" s="394"/>
      <c r="CQ78" s="394"/>
      <c r="CR78" s="394"/>
      <c r="CS78" s="394"/>
      <c r="CT78" s="394"/>
      <c r="CU78" s="394"/>
      <c r="CV78" s="394"/>
      <c r="CW78" s="394"/>
      <c r="CX78" s="394"/>
      <c r="CY78" s="394"/>
      <c r="CZ78" s="394"/>
      <c r="DA78" s="394"/>
      <c r="DB78" s="394"/>
      <c r="DC78" s="394"/>
      <c r="DD78" s="394"/>
      <c r="DE78" s="394"/>
      <c r="DF78" s="394"/>
      <c r="DG78" s="394"/>
      <c r="DH78" s="394"/>
      <c r="DI78" s="394"/>
      <c r="DJ78" s="394"/>
      <c r="DK78" s="394"/>
      <c r="DL78" s="394"/>
      <c r="DM78" s="394"/>
      <c r="DN78" s="394"/>
      <c r="DO78" s="394"/>
      <c r="DP78" s="394"/>
      <c r="DQ78" s="394"/>
      <c r="DR78" s="394"/>
      <c r="DS78" s="394"/>
      <c r="DT78" s="394"/>
      <c r="DU78" s="394"/>
      <c r="DV78" s="394"/>
      <c r="DW78" s="394"/>
      <c r="DX78" s="394"/>
      <c r="DY78" s="394"/>
      <c r="DZ78" s="394"/>
      <c r="EA78" s="395"/>
      <c r="EB78" s="396" t="s">
        <v>152</v>
      </c>
      <c r="EC78" s="397"/>
      <c r="ED78" s="397"/>
      <c r="EE78" s="397"/>
      <c r="EF78" s="397"/>
      <c r="EG78" s="397"/>
      <c r="EH78" s="397"/>
      <c r="EI78" s="397"/>
      <c r="EJ78" s="397"/>
      <c r="EK78" s="397"/>
      <c r="EL78" s="397"/>
      <c r="EM78" s="397"/>
      <c r="EN78" s="397"/>
      <c r="EO78" s="397"/>
      <c r="EP78" s="397"/>
      <c r="EQ78" s="397"/>
      <c r="ER78" s="397"/>
      <c r="ES78" s="397"/>
      <c r="ET78" s="397"/>
      <c r="EU78" s="397"/>
      <c r="EV78" s="397"/>
      <c r="EW78" s="397"/>
      <c r="EX78" s="397"/>
      <c r="EY78" s="397"/>
      <c r="EZ78" s="397"/>
      <c r="FA78" s="397"/>
      <c r="FB78" s="397"/>
      <c r="FC78" s="397"/>
      <c r="FD78" s="398"/>
      <c r="FE78" s="391" t="s">
        <v>153</v>
      </c>
      <c r="FF78" s="207"/>
      <c r="FG78" s="207"/>
      <c r="FH78" s="207"/>
      <c r="FI78" s="207"/>
      <c r="FJ78" s="207"/>
      <c r="FK78" s="207"/>
      <c r="FL78" s="207"/>
      <c r="FM78" s="207"/>
      <c r="FN78" s="207"/>
      <c r="FO78" s="207"/>
      <c r="FP78" s="207"/>
      <c r="FQ78" s="207"/>
      <c r="FR78" s="207"/>
      <c r="FS78" s="208"/>
      <c r="FT78" s="399" t="s">
        <v>154</v>
      </c>
      <c r="FU78" s="400"/>
      <c r="FV78" s="400"/>
      <c r="FW78" s="400"/>
      <c r="FX78" s="400"/>
      <c r="FY78" s="400"/>
      <c r="FZ78" s="400"/>
      <c r="GA78" s="400"/>
      <c r="GB78" s="400"/>
      <c r="GC78" s="400"/>
      <c r="GD78" s="400"/>
      <c r="GE78" s="400"/>
      <c r="GF78" s="400"/>
      <c r="GG78" s="400"/>
      <c r="GH78" s="401"/>
    </row>
    <row r="79" spans="1:190" ht="9.9499999999999993" customHeight="1" x14ac:dyDescent="0.2">
      <c r="A79" s="388"/>
      <c r="B79" s="389"/>
      <c r="C79" s="389"/>
      <c r="D79" s="389"/>
      <c r="E79" s="389"/>
      <c r="F79" s="389"/>
      <c r="G79" s="389"/>
      <c r="H79" s="389"/>
      <c r="I79" s="389"/>
      <c r="J79" s="390"/>
      <c r="K79" s="392"/>
      <c r="L79" s="210"/>
      <c r="M79" s="210"/>
      <c r="N79" s="210"/>
      <c r="O79" s="210"/>
      <c r="P79" s="210"/>
      <c r="Q79" s="210"/>
      <c r="R79" s="210"/>
      <c r="S79" s="210"/>
      <c r="T79" s="210"/>
      <c r="U79" s="210"/>
      <c r="V79" s="210"/>
      <c r="W79" s="210"/>
      <c r="X79" s="210"/>
      <c r="Y79" s="210"/>
      <c r="Z79" s="210"/>
      <c r="AA79" s="210"/>
      <c r="AB79" s="210"/>
      <c r="AC79" s="210"/>
      <c r="AD79" s="210"/>
      <c r="AE79" s="210"/>
      <c r="AF79" s="210"/>
      <c r="AG79" s="210"/>
      <c r="AH79" s="210"/>
      <c r="AI79" s="210"/>
      <c r="AJ79" s="211"/>
      <c r="AK79" s="392"/>
      <c r="AL79" s="210"/>
      <c r="AM79" s="210"/>
      <c r="AN79" s="210"/>
      <c r="AO79" s="210"/>
      <c r="AP79" s="210"/>
      <c r="AQ79" s="210"/>
      <c r="AR79" s="210"/>
      <c r="AS79" s="210"/>
      <c r="AT79" s="210"/>
      <c r="AU79" s="210"/>
      <c r="AV79" s="210"/>
      <c r="AW79" s="210"/>
      <c r="AX79" s="210"/>
      <c r="AY79" s="210"/>
      <c r="AZ79" s="210"/>
      <c r="BA79" s="210"/>
      <c r="BB79" s="210"/>
      <c r="BC79" s="210"/>
      <c r="BD79" s="210"/>
      <c r="BE79" s="210"/>
      <c r="BF79" s="210"/>
      <c r="BG79" s="210"/>
      <c r="BH79" s="210"/>
      <c r="BI79" s="210"/>
      <c r="BJ79" s="211"/>
      <c r="BK79" s="392"/>
      <c r="BL79" s="210"/>
      <c r="BM79" s="210"/>
      <c r="BN79" s="210"/>
      <c r="BO79" s="210"/>
      <c r="BP79" s="210"/>
      <c r="BQ79" s="210"/>
      <c r="BR79" s="210"/>
      <c r="BS79" s="210"/>
      <c r="BT79" s="210"/>
      <c r="BU79" s="210"/>
      <c r="BV79" s="210"/>
      <c r="BW79" s="210"/>
      <c r="BX79" s="210"/>
      <c r="BY79" s="210"/>
      <c r="BZ79" s="210"/>
      <c r="CA79" s="210"/>
      <c r="CB79" s="210"/>
      <c r="CC79" s="210"/>
      <c r="CD79" s="210"/>
      <c r="CE79" s="210"/>
      <c r="CF79" s="210"/>
      <c r="CG79" s="210"/>
      <c r="CH79" s="210"/>
      <c r="CI79" s="210"/>
      <c r="CJ79" s="210"/>
      <c r="CK79" s="210"/>
      <c r="CL79" s="211"/>
      <c r="CM79" s="396" t="s">
        <v>155</v>
      </c>
      <c r="CN79" s="397"/>
      <c r="CO79" s="397"/>
      <c r="CP79" s="397"/>
      <c r="CQ79" s="397"/>
      <c r="CR79" s="397"/>
      <c r="CS79" s="397"/>
      <c r="CT79" s="397"/>
      <c r="CU79" s="397"/>
      <c r="CV79" s="397"/>
      <c r="CW79" s="397"/>
      <c r="CX79" s="397"/>
      <c r="CY79" s="397"/>
      <c r="CZ79" s="397"/>
      <c r="DA79" s="397"/>
      <c r="DB79" s="397"/>
      <c r="DC79" s="397"/>
      <c r="DD79" s="397"/>
      <c r="DE79" s="397"/>
      <c r="DF79" s="397"/>
      <c r="DG79" s="397"/>
      <c r="DH79" s="397"/>
      <c r="DI79" s="397"/>
      <c r="DJ79" s="397"/>
      <c r="DK79" s="397"/>
      <c r="DL79" s="397"/>
      <c r="DM79" s="397"/>
      <c r="DN79" s="397"/>
      <c r="DO79" s="397"/>
      <c r="DP79" s="397"/>
      <c r="DQ79" s="397"/>
      <c r="DR79" s="397"/>
      <c r="DS79" s="397"/>
      <c r="DT79" s="398"/>
      <c r="DU79" s="393" t="s">
        <v>156</v>
      </c>
      <c r="DV79" s="394"/>
      <c r="DW79" s="394"/>
      <c r="DX79" s="394"/>
      <c r="DY79" s="394"/>
      <c r="DZ79" s="394"/>
      <c r="EA79" s="395"/>
      <c r="EB79" s="393" t="s">
        <v>157</v>
      </c>
      <c r="EC79" s="394"/>
      <c r="ED79" s="394"/>
      <c r="EE79" s="394"/>
      <c r="EF79" s="394"/>
      <c r="EG79" s="394"/>
      <c r="EH79" s="394"/>
      <c r="EI79" s="394"/>
      <c r="EJ79" s="394"/>
      <c r="EK79" s="394"/>
      <c r="EL79" s="394"/>
      <c r="EM79" s="394"/>
      <c r="EN79" s="394"/>
      <c r="EO79" s="394"/>
      <c r="EP79" s="395"/>
      <c r="EQ79" s="393" t="s">
        <v>158</v>
      </c>
      <c r="ER79" s="394"/>
      <c r="ES79" s="394"/>
      <c r="ET79" s="394"/>
      <c r="EU79" s="394"/>
      <c r="EV79" s="394"/>
      <c r="EW79" s="394"/>
      <c r="EX79" s="394"/>
      <c r="EY79" s="394"/>
      <c r="EZ79" s="394"/>
      <c r="FA79" s="394"/>
      <c r="FB79" s="394"/>
      <c r="FC79" s="394"/>
      <c r="FD79" s="394"/>
      <c r="FE79" s="392"/>
      <c r="FF79" s="210"/>
      <c r="FG79" s="210"/>
      <c r="FH79" s="210"/>
      <c r="FI79" s="210"/>
      <c r="FJ79" s="210"/>
      <c r="FK79" s="210"/>
      <c r="FL79" s="210"/>
      <c r="FM79" s="210"/>
      <c r="FN79" s="210"/>
      <c r="FO79" s="210"/>
      <c r="FP79" s="210"/>
      <c r="FQ79" s="210"/>
      <c r="FR79" s="210"/>
      <c r="FS79" s="211"/>
      <c r="FT79" s="402"/>
      <c r="FU79" s="403"/>
      <c r="FV79" s="403"/>
      <c r="FW79" s="403"/>
      <c r="FX79" s="403"/>
      <c r="FY79" s="403"/>
      <c r="FZ79" s="403"/>
      <c r="GA79" s="403"/>
      <c r="GB79" s="403"/>
      <c r="GC79" s="403"/>
      <c r="GD79" s="403"/>
      <c r="GE79" s="403"/>
      <c r="GF79" s="403"/>
      <c r="GG79" s="403"/>
      <c r="GH79" s="404"/>
    </row>
    <row r="80" spans="1:190" ht="9.9499999999999993" customHeight="1" thickBot="1" x14ac:dyDescent="0.25">
      <c r="A80" s="445">
        <v>10</v>
      </c>
      <c r="B80" s="406"/>
      <c r="C80" s="406"/>
      <c r="D80" s="406"/>
      <c r="E80" s="406"/>
      <c r="F80" s="406"/>
      <c r="G80" s="406"/>
      <c r="H80" s="406"/>
      <c r="I80" s="406"/>
      <c r="J80" s="446"/>
      <c r="K80" s="405">
        <v>11</v>
      </c>
      <c r="L80" s="406"/>
      <c r="M80" s="406"/>
      <c r="N80" s="406"/>
      <c r="O80" s="406"/>
      <c r="P80" s="406"/>
      <c r="Q80" s="406"/>
      <c r="R80" s="406"/>
      <c r="S80" s="406"/>
      <c r="T80" s="406"/>
      <c r="U80" s="406"/>
      <c r="V80" s="406"/>
      <c r="W80" s="406"/>
      <c r="X80" s="406"/>
      <c r="Y80" s="406"/>
      <c r="Z80" s="406"/>
      <c r="AA80" s="406"/>
      <c r="AB80" s="406"/>
      <c r="AC80" s="406"/>
      <c r="AD80" s="406"/>
      <c r="AE80" s="406"/>
      <c r="AF80" s="406"/>
      <c r="AG80" s="406"/>
      <c r="AH80" s="406"/>
      <c r="AI80" s="406"/>
      <c r="AJ80" s="446"/>
      <c r="AK80" s="405">
        <v>12</v>
      </c>
      <c r="AL80" s="406"/>
      <c r="AM80" s="406"/>
      <c r="AN80" s="406"/>
      <c r="AO80" s="406"/>
      <c r="AP80" s="406"/>
      <c r="AQ80" s="406"/>
      <c r="AR80" s="406"/>
      <c r="AS80" s="406"/>
      <c r="AT80" s="406"/>
      <c r="AU80" s="406"/>
      <c r="AV80" s="406"/>
      <c r="AW80" s="406"/>
      <c r="AX80" s="406"/>
      <c r="AY80" s="406"/>
      <c r="AZ80" s="406"/>
      <c r="BA80" s="406"/>
      <c r="BB80" s="406"/>
      <c r="BC80" s="406"/>
      <c r="BD80" s="406"/>
      <c r="BE80" s="406"/>
      <c r="BF80" s="406"/>
      <c r="BG80" s="406"/>
      <c r="BH80" s="406"/>
      <c r="BI80" s="406"/>
      <c r="BJ80" s="446"/>
      <c r="BK80" s="405">
        <v>13</v>
      </c>
      <c r="BL80" s="406"/>
      <c r="BM80" s="406"/>
      <c r="BN80" s="406"/>
      <c r="BO80" s="406"/>
      <c r="BP80" s="406"/>
      <c r="BQ80" s="406"/>
      <c r="BR80" s="406"/>
      <c r="BS80" s="406"/>
      <c r="BT80" s="406"/>
      <c r="BU80" s="406"/>
      <c r="BV80" s="406"/>
      <c r="BW80" s="406"/>
      <c r="BX80" s="406"/>
      <c r="BY80" s="406"/>
      <c r="BZ80" s="406"/>
      <c r="CA80" s="406"/>
      <c r="CB80" s="406"/>
      <c r="CC80" s="406"/>
      <c r="CD80" s="406"/>
      <c r="CE80" s="406"/>
      <c r="CF80" s="406"/>
      <c r="CG80" s="406"/>
      <c r="CH80" s="406"/>
      <c r="CI80" s="406"/>
      <c r="CJ80" s="406"/>
      <c r="CK80" s="406"/>
      <c r="CL80" s="446"/>
      <c r="CM80" s="405">
        <v>14</v>
      </c>
      <c r="CN80" s="406"/>
      <c r="CO80" s="406"/>
      <c r="CP80" s="406"/>
      <c r="CQ80" s="406"/>
      <c r="CR80" s="406"/>
      <c r="CS80" s="406"/>
      <c r="CT80" s="406"/>
      <c r="CU80" s="406"/>
      <c r="CV80" s="406"/>
      <c r="CW80" s="406"/>
      <c r="CX80" s="406"/>
      <c r="CY80" s="406"/>
      <c r="CZ80" s="406"/>
      <c r="DA80" s="406"/>
      <c r="DB80" s="406"/>
      <c r="DC80" s="406"/>
      <c r="DD80" s="406"/>
      <c r="DE80" s="406"/>
      <c r="DF80" s="406"/>
      <c r="DG80" s="406"/>
      <c r="DH80" s="406"/>
      <c r="DI80" s="406"/>
      <c r="DJ80" s="406"/>
      <c r="DK80" s="406"/>
      <c r="DL80" s="406"/>
      <c r="DM80" s="406"/>
      <c r="DN80" s="406"/>
      <c r="DO80" s="406"/>
      <c r="DP80" s="406"/>
      <c r="DQ80" s="406"/>
      <c r="DR80" s="406"/>
      <c r="DS80" s="406"/>
      <c r="DT80" s="446"/>
      <c r="DU80" s="405">
        <v>15</v>
      </c>
      <c r="DV80" s="406"/>
      <c r="DW80" s="406"/>
      <c r="DX80" s="406"/>
      <c r="DY80" s="406"/>
      <c r="DZ80" s="406"/>
      <c r="EA80" s="446"/>
      <c r="EB80" s="405">
        <v>16</v>
      </c>
      <c r="EC80" s="406"/>
      <c r="ED80" s="406"/>
      <c r="EE80" s="406"/>
      <c r="EF80" s="406"/>
      <c r="EG80" s="406"/>
      <c r="EH80" s="406"/>
      <c r="EI80" s="406"/>
      <c r="EJ80" s="406"/>
      <c r="EK80" s="406"/>
      <c r="EL80" s="406"/>
      <c r="EM80" s="406"/>
      <c r="EN80" s="406"/>
      <c r="EO80" s="406"/>
      <c r="EP80" s="446"/>
      <c r="EQ80" s="405">
        <v>17</v>
      </c>
      <c r="ER80" s="406"/>
      <c r="ES80" s="406"/>
      <c r="ET80" s="406"/>
      <c r="EU80" s="406"/>
      <c r="EV80" s="406"/>
      <c r="EW80" s="406"/>
      <c r="EX80" s="406"/>
      <c r="EY80" s="406"/>
      <c r="EZ80" s="406"/>
      <c r="FA80" s="406"/>
      <c r="FB80" s="406"/>
      <c r="FC80" s="406"/>
      <c r="FD80" s="446"/>
      <c r="FE80" s="405">
        <v>18</v>
      </c>
      <c r="FF80" s="406"/>
      <c r="FG80" s="406"/>
      <c r="FH80" s="406"/>
      <c r="FI80" s="406"/>
      <c r="FJ80" s="406"/>
      <c r="FK80" s="406"/>
      <c r="FL80" s="406"/>
      <c r="FM80" s="406"/>
      <c r="FN80" s="406"/>
      <c r="FO80" s="406"/>
      <c r="FP80" s="406"/>
      <c r="FQ80" s="406"/>
      <c r="FR80" s="406"/>
      <c r="FS80" s="446"/>
      <c r="FT80" s="405">
        <v>19</v>
      </c>
      <c r="FU80" s="406"/>
      <c r="FV80" s="406"/>
      <c r="FW80" s="406"/>
      <c r="FX80" s="406"/>
      <c r="FY80" s="406"/>
      <c r="FZ80" s="406"/>
      <c r="GA80" s="406"/>
      <c r="GB80" s="406"/>
      <c r="GC80" s="406"/>
      <c r="GD80" s="406"/>
      <c r="GE80" s="406"/>
      <c r="GF80" s="406"/>
      <c r="GG80" s="406"/>
      <c r="GH80" s="407"/>
    </row>
    <row r="81" spans="1:190" ht="9" customHeight="1" thickTop="1" x14ac:dyDescent="0.2">
      <c r="A81" s="408" t="s">
        <v>159</v>
      </c>
      <c r="B81" s="409"/>
      <c r="C81" s="409"/>
      <c r="D81" s="409"/>
      <c r="E81" s="409"/>
      <c r="F81" s="409"/>
      <c r="G81" s="409"/>
      <c r="H81" s="409"/>
      <c r="I81" s="409"/>
      <c r="J81" s="410"/>
      <c r="K81" s="413" t="s">
        <v>160</v>
      </c>
      <c r="L81" s="414"/>
      <c r="M81" s="414"/>
      <c r="N81" s="414"/>
      <c r="O81" s="414"/>
      <c r="P81" s="414"/>
      <c r="Q81" s="414"/>
      <c r="R81" s="414"/>
      <c r="S81" s="414"/>
      <c r="T81" s="414"/>
      <c r="U81" s="414"/>
      <c r="V81" s="414"/>
      <c r="W81" s="414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14"/>
      <c r="AI81" s="414"/>
      <c r="AJ81" s="415"/>
      <c r="AK81" s="419" t="s">
        <v>35</v>
      </c>
      <c r="AL81" s="420"/>
      <c r="AM81" s="420"/>
      <c r="AN81" s="420"/>
      <c r="AO81" s="420"/>
      <c r="AP81" s="420"/>
      <c r="AQ81" s="420"/>
      <c r="AR81" s="420"/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1"/>
      <c r="BK81" s="419" t="s">
        <v>35</v>
      </c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20"/>
      <c r="CB81" s="420"/>
      <c r="CC81" s="420"/>
      <c r="CD81" s="420"/>
      <c r="CE81" s="420"/>
      <c r="CF81" s="420"/>
      <c r="CG81" s="420"/>
      <c r="CH81" s="420"/>
      <c r="CI81" s="420"/>
      <c r="CJ81" s="420"/>
      <c r="CK81" s="420"/>
      <c r="CL81" s="421"/>
      <c r="CM81" s="419" t="s">
        <v>161</v>
      </c>
      <c r="CN81" s="420"/>
      <c r="CO81" s="420"/>
      <c r="CP81" s="420"/>
      <c r="CQ81" s="420"/>
      <c r="CR81" s="420"/>
      <c r="CS81" s="420"/>
      <c r="CT81" s="420"/>
      <c r="CU81" s="420"/>
      <c r="CV81" s="420"/>
      <c r="CW81" s="420"/>
      <c r="CX81" s="420"/>
      <c r="CY81" s="420"/>
      <c r="CZ81" s="420"/>
      <c r="DA81" s="420"/>
      <c r="DB81" s="420"/>
      <c r="DC81" s="420"/>
      <c r="DD81" s="420"/>
      <c r="DE81" s="420"/>
      <c r="DF81" s="420"/>
      <c r="DG81" s="420"/>
      <c r="DH81" s="420"/>
      <c r="DI81" s="420"/>
      <c r="DJ81" s="420"/>
      <c r="DK81" s="420"/>
      <c r="DL81" s="420"/>
      <c r="DM81" s="420"/>
      <c r="DN81" s="420"/>
      <c r="DO81" s="420"/>
      <c r="DP81" s="420"/>
      <c r="DQ81" s="420"/>
      <c r="DR81" s="420"/>
      <c r="DS81" s="420"/>
      <c r="DT81" s="420"/>
      <c r="DU81" s="425"/>
      <c r="DV81" s="426"/>
      <c r="DW81" s="426"/>
      <c r="DX81" s="426"/>
      <c r="DY81" s="426"/>
      <c r="DZ81" s="426"/>
      <c r="EA81" s="427"/>
      <c r="EB81" s="428">
        <f ca="1">NOW()-0.01</f>
        <v>43489.625994907408</v>
      </c>
      <c r="EC81" s="429"/>
      <c r="ED81" s="429"/>
      <c r="EE81" s="429"/>
      <c r="EF81" s="429"/>
      <c r="EG81" s="429"/>
      <c r="EH81" s="429"/>
      <c r="EI81" s="429"/>
      <c r="EJ81" s="429"/>
      <c r="EK81" s="429"/>
      <c r="EL81" s="429"/>
      <c r="EM81" s="429"/>
      <c r="EN81" s="429"/>
      <c r="EO81" s="429"/>
      <c r="EP81" s="430"/>
      <c r="EQ81" s="448">
        <f ca="1">NOW()</f>
        <v>43489.63599490741</v>
      </c>
      <c r="ER81" s="449"/>
      <c r="ES81" s="449"/>
      <c r="ET81" s="449"/>
      <c r="EU81" s="449"/>
      <c r="EV81" s="449"/>
      <c r="EW81" s="449"/>
      <c r="EX81" s="449"/>
      <c r="EY81" s="449"/>
      <c r="EZ81" s="449"/>
      <c r="FA81" s="449"/>
      <c r="FB81" s="449"/>
      <c r="FC81" s="449"/>
      <c r="FD81" s="450"/>
      <c r="FE81" s="454" t="s">
        <v>35</v>
      </c>
      <c r="FF81" s="455"/>
      <c r="FG81" s="455"/>
      <c r="FH81" s="455"/>
      <c r="FI81" s="455"/>
      <c r="FJ81" s="455"/>
      <c r="FK81" s="455"/>
      <c r="FL81" s="455"/>
      <c r="FM81" s="455"/>
      <c r="FN81" s="455"/>
      <c r="FO81" s="455"/>
      <c r="FP81" s="455"/>
      <c r="FQ81" s="455"/>
      <c r="FR81" s="455"/>
      <c r="FS81" s="456"/>
      <c r="FT81" s="460"/>
      <c r="FU81" s="460"/>
      <c r="FV81" s="460"/>
      <c r="FW81" s="460"/>
      <c r="FX81" s="460"/>
      <c r="FY81" s="460"/>
      <c r="FZ81" s="460"/>
      <c r="GA81" s="460"/>
      <c r="GB81" s="460"/>
      <c r="GC81" s="460"/>
      <c r="GD81" s="460"/>
      <c r="GE81" s="460"/>
      <c r="GF81" s="460"/>
      <c r="GG81" s="460"/>
      <c r="GH81" s="461"/>
    </row>
    <row r="82" spans="1:190" ht="9" customHeight="1" x14ac:dyDescent="0.2">
      <c r="A82" s="411"/>
      <c r="B82" s="298"/>
      <c r="C82" s="298"/>
      <c r="D82" s="298"/>
      <c r="E82" s="298"/>
      <c r="F82" s="298"/>
      <c r="G82" s="298"/>
      <c r="H82" s="298"/>
      <c r="I82" s="298"/>
      <c r="J82" s="412"/>
      <c r="K82" s="416"/>
      <c r="L82" s="417"/>
      <c r="M82" s="417"/>
      <c r="N82" s="417"/>
      <c r="O82" s="417"/>
      <c r="P82" s="417"/>
      <c r="Q82" s="417"/>
      <c r="R82" s="417"/>
      <c r="S82" s="417"/>
      <c r="T82" s="417"/>
      <c r="U82" s="417"/>
      <c r="V82" s="417"/>
      <c r="W82" s="417"/>
      <c r="X82" s="417"/>
      <c r="Y82" s="417"/>
      <c r="Z82" s="417"/>
      <c r="AA82" s="417"/>
      <c r="AB82" s="417"/>
      <c r="AC82" s="417"/>
      <c r="AD82" s="417"/>
      <c r="AE82" s="417"/>
      <c r="AF82" s="417"/>
      <c r="AG82" s="417"/>
      <c r="AH82" s="417"/>
      <c r="AI82" s="417"/>
      <c r="AJ82" s="418"/>
      <c r="AK82" s="422"/>
      <c r="AL82" s="423"/>
      <c r="AM82" s="423"/>
      <c r="AN82" s="423"/>
      <c r="AO82" s="423"/>
      <c r="AP82" s="423"/>
      <c r="AQ82" s="423"/>
      <c r="AR82" s="423"/>
      <c r="AS82" s="423"/>
      <c r="AT82" s="423"/>
      <c r="AU82" s="423"/>
      <c r="AV82" s="423"/>
      <c r="AW82" s="423"/>
      <c r="AX82" s="423"/>
      <c r="AY82" s="423"/>
      <c r="AZ82" s="423"/>
      <c r="BA82" s="423"/>
      <c r="BB82" s="423"/>
      <c r="BC82" s="423"/>
      <c r="BD82" s="423"/>
      <c r="BE82" s="423"/>
      <c r="BF82" s="423"/>
      <c r="BG82" s="423"/>
      <c r="BH82" s="423"/>
      <c r="BI82" s="423"/>
      <c r="BJ82" s="424"/>
      <c r="BK82" s="422"/>
      <c r="BL82" s="423"/>
      <c r="BM82" s="423"/>
      <c r="BN82" s="423"/>
      <c r="BO82" s="423"/>
      <c r="BP82" s="423"/>
      <c r="BQ82" s="423"/>
      <c r="BR82" s="423"/>
      <c r="BS82" s="423"/>
      <c r="BT82" s="423"/>
      <c r="BU82" s="423"/>
      <c r="BV82" s="423"/>
      <c r="BW82" s="423"/>
      <c r="BX82" s="423"/>
      <c r="BY82" s="423"/>
      <c r="BZ82" s="423"/>
      <c r="CA82" s="423"/>
      <c r="CB82" s="423"/>
      <c r="CC82" s="423"/>
      <c r="CD82" s="423"/>
      <c r="CE82" s="423"/>
      <c r="CF82" s="423"/>
      <c r="CG82" s="423"/>
      <c r="CH82" s="423"/>
      <c r="CI82" s="423"/>
      <c r="CJ82" s="423"/>
      <c r="CK82" s="423"/>
      <c r="CL82" s="424"/>
      <c r="CM82" s="422"/>
      <c r="CN82" s="423"/>
      <c r="CO82" s="423"/>
      <c r="CP82" s="423"/>
      <c r="CQ82" s="423"/>
      <c r="CR82" s="423"/>
      <c r="CS82" s="423"/>
      <c r="CT82" s="423"/>
      <c r="CU82" s="423"/>
      <c r="CV82" s="423"/>
      <c r="CW82" s="423"/>
      <c r="CX82" s="423"/>
      <c r="CY82" s="423"/>
      <c r="CZ82" s="423"/>
      <c r="DA82" s="423"/>
      <c r="DB82" s="423"/>
      <c r="DC82" s="423"/>
      <c r="DD82" s="423"/>
      <c r="DE82" s="423"/>
      <c r="DF82" s="423"/>
      <c r="DG82" s="423"/>
      <c r="DH82" s="423"/>
      <c r="DI82" s="423"/>
      <c r="DJ82" s="423"/>
      <c r="DK82" s="423"/>
      <c r="DL82" s="423"/>
      <c r="DM82" s="423"/>
      <c r="DN82" s="423"/>
      <c r="DO82" s="423"/>
      <c r="DP82" s="423"/>
      <c r="DQ82" s="423"/>
      <c r="DR82" s="423"/>
      <c r="DS82" s="423"/>
      <c r="DT82" s="423"/>
      <c r="DU82" s="462" t="s">
        <v>35</v>
      </c>
      <c r="DV82" s="463"/>
      <c r="DW82" s="463"/>
      <c r="DX82" s="463"/>
      <c r="DY82" s="463"/>
      <c r="DZ82" s="463"/>
      <c r="EA82" s="464"/>
      <c r="EB82" s="431"/>
      <c r="EC82" s="432"/>
      <c r="ED82" s="432"/>
      <c r="EE82" s="432"/>
      <c r="EF82" s="432"/>
      <c r="EG82" s="432"/>
      <c r="EH82" s="432"/>
      <c r="EI82" s="432"/>
      <c r="EJ82" s="432"/>
      <c r="EK82" s="432"/>
      <c r="EL82" s="432"/>
      <c r="EM82" s="432"/>
      <c r="EN82" s="432"/>
      <c r="EO82" s="432"/>
      <c r="EP82" s="433"/>
      <c r="EQ82" s="451"/>
      <c r="ER82" s="452"/>
      <c r="ES82" s="452"/>
      <c r="ET82" s="452"/>
      <c r="EU82" s="452"/>
      <c r="EV82" s="452"/>
      <c r="EW82" s="452"/>
      <c r="EX82" s="452"/>
      <c r="EY82" s="452"/>
      <c r="EZ82" s="452"/>
      <c r="FA82" s="452"/>
      <c r="FB82" s="452"/>
      <c r="FC82" s="452"/>
      <c r="FD82" s="453"/>
      <c r="FE82" s="457"/>
      <c r="FF82" s="458"/>
      <c r="FG82" s="458"/>
      <c r="FH82" s="458"/>
      <c r="FI82" s="458"/>
      <c r="FJ82" s="458"/>
      <c r="FK82" s="458"/>
      <c r="FL82" s="458"/>
      <c r="FM82" s="458"/>
      <c r="FN82" s="458"/>
      <c r="FO82" s="458"/>
      <c r="FP82" s="458"/>
      <c r="FQ82" s="458"/>
      <c r="FR82" s="458"/>
      <c r="FS82" s="459"/>
      <c r="FT82" s="465"/>
      <c r="FU82" s="465"/>
      <c r="FV82" s="465"/>
      <c r="FW82" s="465"/>
      <c r="FX82" s="465"/>
      <c r="FY82" s="465"/>
      <c r="FZ82" s="465"/>
      <c r="GA82" s="465"/>
      <c r="GB82" s="465"/>
      <c r="GC82" s="465"/>
      <c r="GD82" s="465"/>
      <c r="GE82" s="465"/>
      <c r="GF82" s="465"/>
      <c r="GG82" s="465"/>
      <c r="GH82" s="466"/>
    </row>
    <row r="83" spans="1:190" ht="17.45" customHeight="1" thickBot="1" x14ac:dyDescent="0.25">
      <c r="A83" s="467" t="s">
        <v>162</v>
      </c>
      <c r="B83" s="468"/>
      <c r="C83" s="468"/>
      <c r="D83" s="468"/>
      <c r="E83" s="468"/>
      <c r="F83" s="468"/>
      <c r="G83" s="468"/>
      <c r="H83" s="468"/>
      <c r="I83" s="468"/>
      <c r="J83" s="469"/>
      <c r="K83" s="470" t="s">
        <v>163</v>
      </c>
      <c r="L83" s="471"/>
      <c r="M83" s="471"/>
      <c r="N83" s="471"/>
      <c r="O83" s="471"/>
      <c r="P83" s="471"/>
      <c r="Q83" s="471"/>
      <c r="R83" s="471"/>
      <c r="S83" s="471"/>
      <c r="T83" s="471"/>
      <c r="U83" s="471"/>
      <c r="V83" s="471"/>
      <c r="W83" s="471"/>
      <c r="X83" s="471"/>
      <c r="Y83" s="471"/>
      <c r="Z83" s="471"/>
      <c r="AA83" s="471"/>
      <c r="AB83" s="471"/>
      <c r="AC83" s="471"/>
      <c r="AD83" s="471"/>
      <c r="AE83" s="471"/>
      <c r="AF83" s="471"/>
      <c r="AG83" s="471"/>
      <c r="AH83" s="471"/>
      <c r="AI83" s="471"/>
      <c r="AJ83" s="472"/>
      <c r="AK83" s="473" t="s">
        <v>35</v>
      </c>
      <c r="AL83" s="474"/>
      <c r="AM83" s="474"/>
      <c r="AN83" s="474"/>
      <c r="AO83" s="474"/>
      <c r="AP83" s="474"/>
      <c r="AQ83" s="474"/>
      <c r="AR83" s="474"/>
      <c r="AS83" s="474"/>
      <c r="AT83" s="474"/>
      <c r="AU83" s="474"/>
      <c r="AV83" s="474"/>
      <c r="AW83" s="474"/>
      <c r="AX83" s="474"/>
      <c r="AY83" s="474"/>
      <c r="AZ83" s="474"/>
      <c r="BA83" s="474"/>
      <c r="BB83" s="474"/>
      <c r="BC83" s="474"/>
      <c r="BD83" s="474"/>
      <c r="BE83" s="474"/>
      <c r="BF83" s="474"/>
      <c r="BG83" s="474"/>
      <c r="BH83" s="474"/>
      <c r="BI83" s="474"/>
      <c r="BJ83" s="475"/>
      <c r="BK83" s="473" t="s">
        <v>35</v>
      </c>
      <c r="BL83" s="474"/>
      <c r="BM83" s="474"/>
      <c r="BN83" s="474"/>
      <c r="BO83" s="474"/>
      <c r="BP83" s="474"/>
      <c r="BQ83" s="474"/>
      <c r="BR83" s="474"/>
      <c r="BS83" s="474"/>
      <c r="BT83" s="474"/>
      <c r="BU83" s="474"/>
      <c r="BV83" s="474"/>
      <c r="BW83" s="474"/>
      <c r="BX83" s="474"/>
      <c r="BY83" s="474"/>
      <c r="BZ83" s="474"/>
      <c r="CA83" s="474"/>
      <c r="CB83" s="474"/>
      <c r="CC83" s="474"/>
      <c r="CD83" s="474"/>
      <c r="CE83" s="474"/>
      <c r="CF83" s="474"/>
      <c r="CG83" s="474"/>
      <c r="CH83" s="474"/>
      <c r="CI83" s="474"/>
      <c r="CJ83" s="474"/>
      <c r="CK83" s="474"/>
      <c r="CL83" s="475"/>
      <c r="CM83" s="473" t="s">
        <v>161</v>
      </c>
      <c r="CN83" s="474"/>
      <c r="CO83" s="474"/>
      <c r="CP83" s="474"/>
      <c r="CQ83" s="474"/>
      <c r="CR83" s="474"/>
      <c r="CS83" s="474"/>
      <c r="CT83" s="474"/>
      <c r="CU83" s="474"/>
      <c r="CV83" s="474"/>
      <c r="CW83" s="474"/>
      <c r="CX83" s="474"/>
      <c r="CY83" s="474"/>
      <c r="CZ83" s="474"/>
      <c r="DA83" s="474"/>
      <c r="DB83" s="474"/>
      <c r="DC83" s="474"/>
      <c r="DD83" s="474"/>
      <c r="DE83" s="474"/>
      <c r="DF83" s="474"/>
      <c r="DG83" s="474"/>
      <c r="DH83" s="474"/>
      <c r="DI83" s="474"/>
      <c r="DJ83" s="474"/>
      <c r="DK83" s="474"/>
      <c r="DL83" s="474"/>
      <c r="DM83" s="474"/>
      <c r="DN83" s="474"/>
      <c r="DO83" s="474"/>
      <c r="DP83" s="474"/>
      <c r="DQ83" s="474"/>
      <c r="DR83" s="474"/>
      <c r="DS83" s="474"/>
      <c r="DT83" s="474"/>
      <c r="DU83" s="434" t="s">
        <v>35</v>
      </c>
      <c r="DV83" s="435"/>
      <c r="DW83" s="435"/>
      <c r="DX83" s="435"/>
      <c r="DY83" s="435"/>
      <c r="DZ83" s="435"/>
      <c r="EA83" s="436"/>
      <c r="EB83" s="437"/>
      <c r="EC83" s="438"/>
      <c r="ED83" s="438"/>
      <c r="EE83" s="438"/>
      <c r="EF83" s="438"/>
      <c r="EG83" s="438"/>
      <c r="EH83" s="438"/>
      <c r="EI83" s="438"/>
      <c r="EJ83" s="438"/>
      <c r="EK83" s="438"/>
      <c r="EL83" s="438"/>
      <c r="EM83" s="438"/>
      <c r="EN83" s="438"/>
      <c r="EO83" s="438"/>
      <c r="EP83" s="439"/>
      <c r="EQ83" s="437"/>
      <c r="ER83" s="438"/>
      <c r="ES83" s="438"/>
      <c r="ET83" s="438"/>
      <c r="EU83" s="438"/>
      <c r="EV83" s="438"/>
      <c r="EW83" s="438"/>
      <c r="EX83" s="438"/>
      <c r="EY83" s="438"/>
      <c r="EZ83" s="438"/>
      <c r="FA83" s="438"/>
      <c r="FB83" s="438"/>
      <c r="FC83" s="438"/>
      <c r="FD83" s="439"/>
      <c r="FE83" s="440" t="s">
        <v>35</v>
      </c>
      <c r="FF83" s="441"/>
      <c r="FG83" s="441"/>
      <c r="FH83" s="441"/>
      <c r="FI83" s="441"/>
      <c r="FJ83" s="441"/>
      <c r="FK83" s="441"/>
      <c r="FL83" s="441"/>
      <c r="FM83" s="441"/>
      <c r="FN83" s="441"/>
      <c r="FO83" s="441"/>
      <c r="FP83" s="441"/>
      <c r="FQ83" s="441"/>
      <c r="FR83" s="441"/>
      <c r="FS83" s="442"/>
      <c r="FT83" s="443"/>
      <c r="FU83" s="443"/>
      <c r="FV83" s="443"/>
      <c r="FW83" s="443"/>
      <c r="FX83" s="443"/>
      <c r="FY83" s="443"/>
      <c r="FZ83" s="443"/>
      <c r="GA83" s="443"/>
      <c r="GB83" s="443"/>
      <c r="GC83" s="443"/>
      <c r="GD83" s="443"/>
      <c r="GE83" s="443"/>
      <c r="GF83" s="443"/>
      <c r="GG83" s="443"/>
      <c r="GH83" s="444"/>
    </row>
    <row r="84" spans="1:190" ht="9.9499999999999993" customHeight="1" thickTop="1" thickBo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</row>
    <row r="85" spans="1:190" ht="9.9499999999999993" customHeight="1" thickTop="1" x14ac:dyDescent="0.2">
      <c r="A85" s="447" t="s">
        <v>164</v>
      </c>
      <c r="B85" s="383"/>
      <c r="C85" s="383"/>
      <c r="D85" s="383"/>
      <c r="E85" s="383"/>
      <c r="F85" s="383"/>
      <c r="G85" s="383"/>
      <c r="H85" s="383"/>
      <c r="I85" s="383"/>
      <c r="J85" s="383"/>
      <c r="K85" s="383"/>
      <c r="L85" s="383"/>
      <c r="M85" s="383"/>
      <c r="N85" s="383"/>
      <c r="O85" s="383"/>
      <c r="P85" s="383"/>
      <c r="Q85" s="383"/>
      <c r="R85" s="383"/>
      <c r="S85" s="383"/>
      <c r="T85" s="383"/>
      <c r="U85" s="383"/>
      <c r="V85" s="383"/>
      <c r="W85" s="383"/>
      <c r="X85" s="383"/>
      <c r="Y85" s="383"/>
      <c r="Z85" s="383"/>
      <c r="AA85" s="383"/>
      <c r="AB85" s="383"/>
      <c r="AC85" s="383"/>
      <c r="AD85" s="383"/>
      <c r="AE85" s="383"/>
      <c r="AF85" s="383"/>
      <c r="AG85" s="383"/>
      <c r="AH85" s="383"/>
      <c r="AI85" s="383"/>
      <c r="AJ85" s="383"/>
      <c r="AK85" s="383"/>
      <c r="AL85" s="383"/>
      <c r="AM85" s="383"/>
      <c r="AN85" s="383"/>
      <c r="AO85" s="383"/>
      <c r="AP85" s="383"/>
      <c r="AQ85" s="383"/>
      <c r="AR85" s="383"/>
      <c r="AS85" s="383"/>
      <c r="AT85" s="383"/>
      <c r="AU85" s="383"/>
      <c r="AV85" s="383"/>
      <c r="AW85" s="383"/>
      <c r="AX85" s="383"/>
      <c r="AY85" s="383"/>
      <c r="AZ85" s="383"/>
      <c r="BA85" s="383"/>
      <c r="BB85" s="383"/>
      <c r="BC85" s="383"/>
      <c r="BD85" s="383"/>
      <c r="BE85" s="383"/>
      <c r="BF85" s="383"/>
      <c r="BG85" s="383"/>
      <c r="BH85" s="383"/>
      <c r="BI85" s="383"/>
      <c r="BJ85" s="383"/>
      <c r="BK85" s="383"/>
      <c r="BL85" s="383"/>
      <c r="BM85" s="383"/>
      <c r="BN85" s="383"/>
      <c r="BO85" s="383"/>
      <c r="BP85" s="383"/>
      <c r="BQ85" s="383"/>
      <c r="BR85" s="383"/>
      <c r="BS85" s="383"/>
      <c r="BT85" s="383"/>
      <c r="BU85" s="383"/>
      <c r="BV85" s="383"/>
      <c r="BW85" s="383"/>
      <c r="BX85" s="383"/>
      <c r="BY85" s="383"/>
      <c r="BZ85" s="383"/>
      <c r="CA85" s="383"/>
      <c r="CB85" s="383"/>
      <c r="CC85" s="383"/>
      <c r="CD85" s="383"/>
      <c r="CE85" s="383"/>
      <c r="CF85" s="383"/>
      <c r="CG85" s="383"/>
      <c r="CH85" s="383"/>
      <c r="CI85" s="383"/>
      <c r="CJ85" s="383"/>
      <c r="CK85" s="383"/>
      <c r="CL85" s="383"/>
      <c r="CM85" s="383"/>
      <c r="CN85" s="383"/>
      <c r="CO85" s="383"/>
      <c r="CP85" s="383"/>
      <c r="CQ85" s="383"/>
      <c r="CR85" s="383"/>
      <c r="CS85" s="383"/>
      <c r="CT85" s="383"/>
      <c r="CU85" s="383"/>
      <c r="CV85" s="383"/>
      <c r="CW85" s="383"/>
      <c r="CX85" s="383"/>
      <c r="CY85" s="383"/>
      <c r="CZ85" s="383"/>
      <c r="DA85" s="383"/>
      <c r="DB85" s="383"/>
      <c r="DC85" s="383"/>
      <c r="DD85" s="383"/>
      <c r="DE85" s="383"/>
      <c r="DF85" s="383"/>
      <c r="DG85" s="383"/>
      <c r="DH85" s="383"/>
      <c r="DI85" s="383"/>
      <c r="DJ85" s="383"/>
      <c r="DK85" s="383"/>
      <c r="DL85" s="383"/>
      <c r="DM85" s="383"/>
      <c r="DN85" s="383"/>
      <c r="DO85" s="383"/>
      <c r="DP85" s="383"/>
      <c r="DQ85" s="383"/>
      <c r="DR85" s="383"/>
      <c r="DS85" s="383"/>
      <c r="DT85" s="383"/>
      <c r="DU85" s="383"/>
      <c r="DV85" s="383"/>
      <c r="DW85" s="383"/>
      <c r="DX85" s="383"/>
      <c r="DY85" s="383"/>
      <c r="DZ85" s="383"/>
      <c r="EA85" s="383"/>
      <c r="EB85" s="383"/>
      <c r="EC85" s="383"/>
      <c r="ED85" s="383"/>
      <c r="EE85" s="383"/>
      <c r="EF85" s="383"/>
      <c r="EG85" s="383"/>
      <c r="EH85" s="383"/>
      <c r="EI85" s="383"/>
      <c r="EJ85" s="383"/>
      <c r="EK85" s="383"/>
      <c r="EL85" s="383"/>
      <c r="EM85" s="383"/>
      <c r="EN85" s="383"/>
      <c r="EO85" s="384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</row>
    <row r="86" spans="1:190" ht="9.9499999999999993" customHeight="1" x14ac:dyDescent="0.2">
      <c r="A86" s="487" t="s">
        <v>165</v>
      </c>
      <c r="B86" s="394"/>
      <c r="C86" s="394"/>
      <c r="D86" s="394"/>
      <c r="E86" s="394"/>
      <c r="F86" s="394"/>
      <c r="G86" s="394"/>
      <c r="H86" s="394"/>
      <c r="I86" s="394"/>
      <c r="J86" s="394"/>
      <c r="K86" s="394"/>
      <c r="L86" s="394"/>
      <c r="M86" s="394"/>
      <c r="N86" s="394"/>
      <c r="O86" s="394"/>
      <c r="P86" s="394"/>
      <c r="Q86" s="394"/>
      <c r="R86" s="394"/>
      <c r="S86" s="394"/>
      <c r="T86" s="394"/>
      <c r="U86" s="394"/>
      <c r="V86" s="394"/>
      <c r="W86" s="394"/>
      <c r="X86" s="394"/>
      <c r="Y86" s="394"/>
      <c r="Z86" s="394"/>
      <c r="AA86" s="394"/>
      <c r="AB86" s="394"/>
      <c r="AC86" s="394"/>
      <c r="AD86" s="394"/>
      <c r="AE86" s="394"/>
      <c r="AF86" s="394"/>
      <c r="AG86" s="394"/>
      <c r="AH86" s="394"/>
      <c r="AI86" s="394"/>
      <c r="AJ86" s="394"/>
      <c r="AK86" s="394"/>
      <c r="AL86" s="394"/>
      <c r="AM86" s="394"/>
      <c r="AN86" s="395"/>
      <c r="AO86" s="483" t="s">
        <v>156</v>
      </c>
      <c r="AP86" s="386"/>
      <c r="AQ86" s="386"/>
      <c r="AR86" s="386"/>
      <c r="AS86" s="386"/>
      <c r="AT86" s="386"/>
      <c r="AU86" s="386"/>
      <c r="AV86" s="386"/>
      <c r="AW86" s="387"/>
      <c r="AX86" s="393" t="s">
        <v>166</v>
      </c>
      <c r="AY86" s="394"/>
      <c r="AZ86" s="394"/>
      <c r="BA86" s="394"/>
      <c r="BB86" s="394"/>
      <c r="BC86" s="394"/>
      <c r="BD86" s="394"/>
      <c r="BE86" s="394"/>
      <c r="BF86" s="394"/>
      <c r="BG86" s="394"/>
      <c r="BH86" s="394"/>
      <c r="BI86" s="394"/>
      <c r="BJ86" s="394"/>
      <c r="BK86" s="394"/>
      <c r="BL86" s="394"/>
      <c r="BM86" s="394"/>
      <c r="BN86" s="394"/>
      <c r="BO86" s="394"/>
      <c r="BP86" s="394"/>
      <c r="BQ86" s="394"/>
      <c r="BR86" s="394"/>
      <c r="BS86" s="394"/>
      <c r="BT86" s="394"/>
      <c r="BU86" s="394"/>
      <c r="BV86" s="395"/>
      <c r="BW86" s="391" t="s">
        <v>167</v>
      </c>
      <c r="BX86" s="207"/>
      <c r="BY86" s="207"/>
      <c r="BZ86" s="207"/>
      <c r="CA86" s="207"/>
      <c r="CB86" s="207"/>
      <c r="CC86" s="207"/>
      <c r="CD86" s="207"/>
      <c r="CE86" s="207"/>
      <c r="CF86" s="207"/>
      <c r="CG86" s="207"/>
      <c r="CH86" s="207"/>
      <c r="CI86" s="207"/>
      <c r="CJ86" s="207"/>
      <c r="CK86" s="207"/>
      <c r="CL86" s="207"/>
      <c r="CM86" s="207"/>
      <c r="CN86" s="207"/>
      <c r="CO86" s="207"/>
      <c r="CP86" s="208"/>
      <c r="CQ86" s="393" t="s">
        <v>168</v>
      </c>
      <c r="CR86" s="394"/>
      <c r="CS86" s="394"/>
      <c r="CT86" s="394"/>
      <c r="CU86" s="394"/>
      <c r="CV86" s="394"/>
      <c r="CW86" s="394"/>
      <c r="CX86" s="394"/>
      <c r="CY86" s="394"/>
      <c r="CZ86" s="394"/>
      <c r="DA86" s="394"/>
      <c r="DB86" s="394"/>
      <c r="DC86" s="394"/>
      <c r="DD86" s="394"/>
      <c r="DE86" s="394"/>
      <c r="DF86" s="394"/>
      <c r="DG86" s="394"/>
      <c r="DH86" s="394"/>
      <c r="DI86" s="394"/>
      <c r="DJ86" s="394"/>
      <c r="DK86" s="394"/>
      <c r="DL86" s="394"/>
      <c r="DM86" s="394"/>
      <c r="DN86" s="394"/>
      <c r="DO86" s="394"/>
      <c r="DP86" s="394"/>
      <c r="DQ86" s="395"/>
      <c r="DR86" s="393" t="s">
        <v>169</v>
      </c>
      <c r="DS86" s="394"/>
      <c r="DT86" s="394"/>
      <c r="DU86" s="394"/>
      <c r="DV86" s="394"/>
      <c r="DW86" s="394"/>
      <c r="DX86" s="394"/>
      <c r="DY86" s="394"/>
      <c r="DZ86" s="394"/>
      <c r="EA86" s="394"/>
      <c r="EB86" s="394"/>
      <c r="EC86" s="394"/>
      <c r="ED86" s="394"/>
      <c r="EE86" s="394"/>
      <c r="EF86" s="394"/>
      <c r="EG86" s="394"/>
      <c r="EH86" s="394"/>
      <c r="EI86" s="394"/>
      <c r="EJ86" s="394"/>
      <c r="EK86" s="394"/>
      <c r="EL86" s="394"/>
      <c r="EM86" s="394"/>
      <c r="EN86" s="394"/>
      <c r="EO86" s="488"/>
      <c r="EP86" s="37"/>
      <c r="EQ86" s="37"/>
      <c r="ER86" s="37"/>
      <c r="ES86" s="37" t="s">
        <v>170</v>
      </c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48"/>
      <c r="FG86" s="348"/>
      <c r="FH86" s="348"/>
      <c r="FI86" s="348"/>
      <c r="FJ86" s="348"/>
      <c r="FK86" s="348"/>
      <c r="FL86" s="348"/>
      <c r="FM86" s="348"/>
      <c r="FN86" s="348"/>
      <c r="FO86" s="348"/>
      <c r="FP86" s="348"/>
      <c r="FQ86" s="348"/>
      <c r="FR86" s="348"/>
      <c r="FS86" s="348"/>
      <c r="FT86" s="348"/>
      <c r="FU86" s="348"/>
      <c r="FV86" s="348"/>
      <c r="FW86" s="348"/>
      <c r="FX86" s="348"/>
      <c r="FY86" s="348"/>
      <c r="FZ86" s="348"/>
      <c r="GA86" s="348"/>
      <c r="GB86" s="348"/>
      <c r="GC86" s="348"/>
      <c r="GD86" s="348"/>
      <c r="GE86" s="348"/>
      <c r="GF86" s="348"/>
      <c r="GG86" s="348"/>
      <c r="GH86" s="348"/>
    </row>
    <row r="87" spans="1:190" ht="9.9499999999999993" customHeight="1" x14ac:dyDescent="0.2">
      <c r="A87" s="385" t="s">
        <v>171</v>
      </c>
      <c r="B87" s="386"/>
      <c r="C87" s="386"/>
      <c r="D87" s="386"/>
      <c r="E87" s="386"/>
      <c r="F87" s="386"/>
      <c r="G87" s="386"/>
      <c r="H87" s="387"/>
      <c r="I87" s="483" t="s">
        <v>172</v>
      </c>
      <c r="J87" s="386"/>
      <c r="K87" s="386"/>
      <c r="L87" s="386"/>
      <c r="M87" s="386"/>
      <c r="N87" s="386"/>
      <c r="O87" s="386"/>
      <c r="P87" s="387"/>
      <c r="Q87" s="483" t="s">
        <v>173</v>
      </c>
      <c r="R87" s="386"/>
      <c r="S87" s="386"/>
      <c r="T87" s="386"/>
      <c r="U87" s="386"/>
      <c r="V87" s="386"/>
      <c r="W87" s="386"/>
      <c r="X87" s="387"/>
      <c r="Y87" s="483" t="s">
        <v>174</v>
      </c>
      <c r="Z87" s="386"/>
      <c r="AA87" s="386"/>
      <c r="AB87" s="386"/>
      <c r="AC87" s="386"/>
      <c r="AD87" s="386"/>
      <c r="AE87" s="386"/>
      <c r="AF87" s="387"/>
      <c r="AG87" s="483" t="s">
        <v>175</v>
      </c>
      <c r="AH87" s="386"/>
      <c r="AI87" s="386"/>
      <c r="AJ87" s="386"/>
      <c r="AK87" s="386"/>
      <c r="AL87" s="386"/>
      <c r="AM87" s="386"/>
      <c r="AN87" s="387"/>
      <c r="AO87" s="484" t="s">
        <v>176</v>
      </c>
      <c r="AP87" s="481"/>
      <c r="AQ87" s="481"/>
      <c r="AR87" s="481"/>
      <c r="AS87" s="481"/>
      <c r="AT87" s="481"/>
      <c r="AU87" s="481"/>
      <c r="AV87" s="481"/>
      <c r="AW87" s="482"/>
      <c r="AX87" s="483" t="s">
        <v>177</v>
      </c>
      <c r="AY87" s="386"/>
      <c r="AZ87" s="386"/>
      <c r="BA87" s="386"/>
      <c r="BB87" s="386"/>
      <c r="BC87" s="386"/>
      <c r="BD87" s="386"/>
      <c r="BE87" s="386"/>
      <c r="BF87" s="386"/>
      <c r="BG87" s="386"/>
      <c r="BH87" s="387"/>
      <c r="BI87" s="391" t="s">
        <v>178</v>
      </c>
      <c r="BJ87" s="207"/>
      <c r="BK87" s="207"/>
      <c r="BL87" s="207"/>
      <c r="BM87" s="207"/>
      <c r="BN87" s="207"/>
      <c r="BO87" s="207"/>
      <c r="BP87" s="207"/>
      <c r="BQ87" s="207"/>
      <c r="BR87" s="207"/>
      <c r="BS87" s="207"/>
      <c r="BT87" s="207"/>
      <c r="BU87" s="207"/>
      <c r="BV87" s="208"/>
      <c r="BW87" s="486"/>
      <c r="BX87" s="220"/>
      <c r="BY87" s="220"/>
      <c r="BZ87" s="220"/>
      <c r="CA87" s="220"/>
      <c r="CB87" s="220"/>
      <c r="CC87" s="220"/>
      <c r="CD87" s="220"/>
      <c r="CE87" s="220"/>
      <c r="CF87" s="220"/>
      <c r="CG87" s="220"/>
      <c r="CH87" s="220"/>
      <c r="CI87" s="220"/>
      <c r="CJ87" s="220"/>
      <c r="CK87" s="220"/>
      <c r="CL87" s="220"/>
      <c r="CM87" s="220"/>
      <c r="CN87" s="220"/>
      <c r="CO87" s="220"/>
      <c r="CP87" s="221"/>
      <c r="CQ87" s="391" t="s">
        <v>179</v>
      </c>
      <c r="CR87" s="207"/>
      <c r="CS87" s="207"/>
      <c r="CT87" s="207"/>
      <c r="CU87" s="207"/>
      <c r="CV87" s="207"/>
      <c r="CW87" s="207"/>
      <c r="CX87" s="207"/>
      <c r="CY87" s="207"/>
      <c r="CZ87" s="207"/>
      <c r="DA87" s="207"/>
      <c r="DB87" s="207"/>
      <c r="DC87" s="208"/>
      <c r="DD87" s="391" t="s">
        <v>180</v>
      </c>
      <c r="DE87" s="207"/>
      <c r="DF87" s="207"/>
      <c r="DG87" s="207"/>
      <c r="DH87" s="207"/>
      <c r="DI87" s="207"/>
      <c r="DJ87" s="207"/>
      <c r="DK87" s="207"/>
      <c r="DL87" s="207"/>
      <c r="DM87" s="207"/>
      <c r="DN87" s="207"/>
      <c r="DO87" s="207"/>
      <c r="DP87" s="207"/>
      <c r="DQ87" s="208"/>
      <c r="DR87" s="391" t="s">
        <v>181</v>
      </c>
      <c r="DS87" s="207"/>
      <c r="DT87" s="207"/>
      <c r="DU87" s="207"/>
      <c r="DV87" s="207"/>
      <c r="DW87" s="207"/>
      <c r="DX87" s="207"/>
      <c r="DY87" s="207"/>
      <c r="DZ87" s="207"/>
      <c r="EA87" s="207"/>
      <c r="EB87" s="207"/>
      <c r="EC87" s="207"/>
      <c r="ED87" s="207"/>
      <c r="EE87" s="208"/>
      <c r="EF87" s="391" t="s">
        <v>182</v>
      </c>
      <c r="EG87" s="207"/>
      <c r="EH87" s="207"/>
      <c r="EI87" s="207"/>
      <c r="EJ87" s="207"/>
      <c r="EK87" s="207"/>
      <c r="EL87" s="207"/>
      <c r="EM87" s="207"/>
      <c r="EN87" s="207"/>
      <c r="EO87" s="489"/>
      <c r="EP87" s="37"/>
      <c r="EQ87" s="37"/>
      <c r="ER87" s="369"/>
      <c r="ES87" s="369"/>
      <c r="ET87" s="369"/>
      <c r="EU87" s="369"/>
      <c r="EV87" s="369"/>
      <c r="EW87" s="369"/>
      <c r="EX87" s="369"/>
      <c r="EY87" s="369"/>
      <c r="EZ87" s="369"/>
      <c r="FA87" s="369"/>
      <c r="FB87" s="369"/>
      <c r="FC87" s="369"/>
      <c r="FD87" s="369"/>
      <c r="FE87" s="369"/>
      <c r="FF87" s="369"/>
      <c r="FG87" s="369"/>
      <c r="FH87" s="369"/>
      <c r="FI87" s="369"/>
      <c r="FJ87" s="369"/>
      <c r="FK87" s="369"/>
      <c r="FL87" s="369"/>
      <c r="FM87" s="369"/>
      <c r="FN87" s="369"/>
      <c r="FO87" s="369"/>
      <c r="FP87" s="369"/>
      <c r="FQ87" s="369"/>
      <c r="FR87" s="369"/>
      <c r="FS87" s="369"/>
      <c r="FT87" s="369"/>
      <c r="FU87" s="369"/>
      <c r="FV87" s="369"/>
      <c r="FW87" s="369"/>
      <c r="FX87" s="369"/>
      <c r="FY87" s="369"/>
      <c r="FZ87" s="369"/>
      <c r="GA87" s="369"/>
      <c r="GB87" s="369"/>
      <c r="GC87" s="369"/>
      <c r="GD87" s="369"/>
      <c r="GE87" s="369"/>
      <c r="GF87" s="369"/>
      <c r="GG87" s="369"/>
      <c r="GH87" s="369"/>
    </row>
    <row r="88" spans="1:190" ht="9.9499999999999993" customHeight="1" x14ac:dyDescent="0.2">
      <c r="A88" s="480"/>
      <c r="B88" s="481"/>
      <c r="C88" s="481"/>
      <c r="D88" s="481"/>
      <c r="E88" s="481"/>
      <c r="F88" s="481"/>
      <c r="G88" s="481"/>
      <c r="H88" s="482"/>
      <c r="I88" s="484"/>
      <c r="J88" s="481"/>
      <c r="K88" s="481"/>
      <c r="L88" s="481"/>
      <c r="M88" s="481"/>
      <c r="N88" s="481"/>
      <c r="O88" s="481"/>
      <c r="P88" s="482"/>
      <c r="Q88" s="484"/>
      <c r="R88" s="481"/>
      <c r="S88" s="481"/>
      <c r="T88" s="481"/>
      <c r="U88" s="481"/>
      <c r="V88" s="481"/>
      <c r="W88" s="481"/>
      <c r="X88" s="482"/>
      <c r="Y88" s="484"/>
      <c r="Z88" s="481"/>
      <c r="AA88" s="481"/>
      <c r="AB88" s="481"/>
      <c r="AC88" s="481"/>
      <c r="AD88" s="481"/>
      <c r="AE88" s="481"/>
      <c r="AF88" s="482"/>
      <c r="AG88" s="484"/>
      <c r="AH88" s="481"/>
      <c r="AI88" s="481"/>
      <c r="AJ88" s="481"/>
      <c r="AK88" s="481"/>
      <c r="AL88" s="481"/>
      <c r="AM88" s="481"/>
      <c r="AN88" s="482"/>
      <c r="AO88" s="484" t="s">
        <v>183</v>
      </c>
      <c r="AP88" s="481"/>
      <c r="AQ88" s="481"/>
      <c r="AR88" s="481"/>
      <c r="AS88" s="481"/>
      <c r="AT88" s="481"/>
      <c r="AU88" s="481"/>
      <c r="AV88" s="481"/>
      <c r="AW88" s="482"/>
      <c r="AX88" s="484"/>
      <c r="AY88" s="481"/>
      <c r="AZ88" s="481"/>
      <c r="BA88" s="481"/>
      <c r="BB88" s="481"/>
      <c r="BC88" s="481"/>
      <c r="BD88" s="481"/>
      <c r="BE88" s="481"/>
      <c r="BF88" s="481"/>
      <c r="BG88" s="481"/>
      <c r="BH88" s="482"/>
      <c r="BI88" s="486"/>
      <c r="BJ88" s="220"/>
      <c r="BK88" s="220"/>
      <c r="BL88" s="220"/>
      <c r="BM88" s="220"/>
      <c r="BN88" s="220"/>
      <c r="BO88" s="220"/>
      <c r="BP88" s="220"/>
      <c r="BQ88" s="220"/>
      <c r="BR88" s="220"/>
      <c r="BS88" s="220"/>
      <c r="BT88" s="220"/>
      <c r="BU88" s="220"/>
      <c r="BV88" s="221"/>
      <c r="BW88" s="486"/>
      <c r="BX88" s="220"/>
      <c r="BY88" s="220"/>
      <c r="BZ88" s="220"/>
      <c r="CA88" s="220"/>
      <c r="CB88" s="220"/>
      <c r="CC88" s="220"/>
      <c r="CD88" s="220"/>
      <c r="CE88" s="220"/>
      <c r="CF88" s="220"/>
      <c r="CG88" s="220"/>
      <c r="CH88" s="220"/>
      <c r="CI88" s="220"/>
      <c r="CJ88" s="220"/>
      <c r="CK88" s="220"/>
      <c r="CL88" s="220"/>
      <c r="CM88" s="220"/>
      <c r="CN88" s="220"/>
      <c r="CO88" s="220"/>
      <c r="CP88" s="221"/>
      <c r="CQ88" s="486"/>
      <c r="CR88" s="220"/>
      <c r="CS88" s="220"/>
      <c r="CT88" s="220"/>
      <c r="CU88" s="220"/>
      <c r="CV88" s="220"/>
      <c r="CW88" s="220"/>
      <c r="CX88" s="220"/>
      <c r="CY88" s="220"/>
      <c r="CZ88" s="220"/>
      <c r="DA88" s="220"/>
      <c r="DB88" s="220"/>
      <c r="DC88" s="221"/>
      <c r="DD88" s="486"/>
      <c r="DE88" s="220"/>
      <c r="DF88" s="220"/>
      <c r="DG88" s="220"/>
      <c r="DH88" s="220"/>
      <c r="DI88" s="220"/>
      <c r="DJ88" s="220"/>
      <c r="DK88" s="220"/>
      <c r="DL88" s="220"/>
      <c r="DM88" s="220"/>
      <c r="DN88" s="220"/>
      <c r="DO88" s="220"/>
      <c r="DP88" s="220"/>
      <c r="DQ88" s="221"/>
      <c r="DR88" s="486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  <c r="ED88" s="220"/>
      <c r="EE88" s="221"/>
      <c r="EF88" s="486"/>
      <c r="EG88" s="220"/>
      <c r="EH88" s="220"/>
      <c r="EI88" s="220"/>
      <c r="EJ88" s="220"/>
      <c r="EK88" s="220"/>
      <c r="EL88" s="220"/>
      <c r="EM88" s="220"/>
      <c r="EN88" s="220"/>
      <c r="EO88" s="490"/>
      <c r="EP88" s="37"/>
      <c r="EQ88" s="37"/>
      <c r="ER88" s="370"/>
      <c r="ES88" s="370"/>
      <c r="ET88" s="370"/>
      <c r="EU88" s="370"/>
      <c r="EV88" s="370"/>
      <c r="EW88" s="370"/>
      <c r="EX88" s="370"/>
      <c r="EY88" s="370"/>
      <c r="EZ88" s="370"/>
      <c r="FA88" s="370"/>
      <c r="FB88" s="370"/>
      <c r="FC88" s="370"/>
      <c r="FD88" s="370"/>
      <c r="FE88" s="370"/>
      <c r="FF88" s="370"/>
      <c r="FG88" s="370"/>
      <c r="FH88" s="370"/>
      <c r="FI88" s="370"/>
      <c r="FJ88" s="370"/>
      <c r="FK88" s="370"/>
      <c r="FL88" s="370"/>
      <c r="FM88" s="370"/>
      <c r="FN88" s="370"/>
      <c r="FO88" s="370"/>
      <c r="FP88" s="370"/>
      <c r="FQ88" s="370"/>
      <c r="FR88" s="370"/>
      <c r="FS88" s="370"/>
      <c r="FT88" s="370"/>
      <c r="FU88" s="370"/>
      <c r="FV88" s="370"/>
      <c r="FW88" s="370"/>
      <c r="FX88" s="370"/>
      <c r="FY88" s="370"/>
      <c r="FZ88" s="370"/>
      <c r="GA88" s="370"/>
      <c r="GB88" s="370"/>
      <c r="GC88" s="370"/>
      <c r="GD88" s="370"/>
      <c r="GE88" s="370"/>
      <c r="GF88" s="370"/>
      <c r="GG88" s="370"/>
      <c r="GH88" s="370"/>
    </row>
    <row r="89" spans="1:190" ht="9.9499999999999993" customHeight="1" x14ac:dyDescent="0.2">
      <c r="A89" s="388"/>
      <c r="B89" s="389"/>
      <c r="C89" s="389"/>
      <c r="D89" s="389"/>
      <c r="E89" s="389"/>
      <c r="F89" s="389"/>
      <c r="G89" s="389"/>
      <c r="H89" s="390"/>
      <c r="I89" s="485"/>
      <c r="J89" s="389"/>
      <c r="K89" s="389"/>
      <c r="L89" s="389"/>
      <c r="M89" s="389"/>
      <c r="N89" s="389"/>
      <c r="O89" s="389"/>
      <c r="P89" s="390"/>
      <c r="Q89" s="485"/>
      <c r="R89" s="389"/>
      <c r="S89" s="389"/>
      <c r="T89" s="389"/>
      <c r="U89" s="389"/>
      <c r="V89" s="389"/>
      <c r="W89" s="389"/>
      <c r="X89" s="390"/>
      <c r="Y89" s="485"/>
      <c r="Z89" s="389"/>
      <c r="AA89" s="389"/>
      <c r="AB89" s="389"/>
      <c r="AC89" s="389"/>
      <c r="AD89" s="389"/>
      <c r="AE89" s="389"/>
      <c r="AF89" s="390"/>
      <c r="AG89" s="485"/>
      <c r="AH89" s="389"/>
      <c r="AI89" s="389"/>
      <c r="AJ89" s="389"/>
      <c r="AK89" s="389"/>
      <c r="AL89" s="389"/>
      <c r="AM89" s="389"/>
      <c r="AN89" s="390"/>
      <c r="AO89" s="485" t="s">
        <v>184</v>
      </c>
      <c r="AP89" s="492"/>
      <c r="AQ89" s="492"/>
      <c r="AR89" s="492"/>
      <c r="AS89" s="492"/>
      <c r="AT89" s="492"/>
      <c r="AU89" s="492"/>
      <c r="AV89" s="492"/>
      <c r="AW89" s="493"/>
      <c r="AX89" s="485"/>
      <c r="AY89" s="389"/>
      <c r="AZ89" s="389"/>
      <c r="BA89" s="389"/>
      <c r="BB89" s="389"/>
      <c r="BC89" s="389"/>
      <c r="BD89" s="389"/>
      <c r="BE89" s="389"/>
      <c r="BF89" s="389"/>
      <c r="BG89" s="389"/>
      <c r="BH89" s="390"/>
      <c r="BI89" s="392"/>
      <c r="BJ89" s="210"/>
      <c r="BK89" s="210"/>
      <c r="BL89" s="210"/>
      <c r="BM89" s="210"/>
      <c r="BN89" s="210"/>
      <c r="BO89" s="210"/>
      <c r="BP89" s="210"/>
      <c r="BQ89" s="210"/>
      <c r="BR89" s="210"/>
      <c r="BS89" s="210"/>
      <c r="BT89" s="210"/>
      <c r="BU89" s="210"/>
      <c r="BV89" s="211"/>
      <c r="BW89" s="392"/>
      <c r="BX89" s="210"/>
      <c r="BY89" s="210"/>
      <c r="BZ89" s="210"/>
      <c r="CA89" s="210"/>
      <c r="CB89" s="210"/>
      <c r="CC89" s="210"/>
      <c r="CD89" s="210"/>
      <c r="CE89" s="210"/>
      <c r="CF89" s="210"/>
      <c r="CG89" s="210"/>
      <c r="CH89" s="210"/>
      <c r="CI89" s="210"/>
      <c r="CJ89" s="210"/>
      <c r="CK89" s="210"/>
      <c r="CL89" s="210"/>
      <c r="CM89" s="210"/>
      <c r="CN89" s="210"/>
      <c r="CO89" s="210"/>
      <c r="CP89" s="211"/>
      <c r="CQ89" s="392"/>
      <c r="CR89" s="210"/>
      <c r="CS89" s="210"/>
      <c r="CT89" s="210"/>
      <c r="CU89" s="210"/>
      <c r="CV89" s="210"/>
      <c r="CW89" s="210"/>
      <c r="CX89" s="210"/>
      <c r="CY89" s="210"/>
      <c r="CZ89" s="210"/>
      <c r="DA89" s="210"/>
      <c r="DB89" s="210"/>
      <c r="DC89" s="211"/>
      <c r="DD89" s="392"/>
      <c r="DE89" s="210"/>
      <c r="DF89" s="210"/>
      <c r="DG89" s="210"/>
      <c r="DH89" s="210"/>
      <c r="DI89" s="210"/>
      <c r="DJ89" s="210"/>
      <c r="DK89" s="210"/>
      <c r="DL89" s="210"/>
      <c r="DM89" s="210"/>
      <c r="DN89" s="210"/>
      <c r="DO89" s="210"/>
      <c r="DP89" s="210"/>
      <c r="DQ89" s="211"/>
      <c r="DR89" s="392"/>
      <c r="DS89" s="210"/>
      <c r="DT89" s="210"/>
      <c r="DU89" s="210"/>
      <c r="DV89" s="210"/>
      <c r="DW89" s="210"/>
      <c r="DX89" s="210"/>
      <c r="DY89" s="210"/>
      <c r="DZ89" s="210"/>
      <c r="EA89" s="210"/>
      <c r="EB89" s="210"/>
      <c r="EC89" s="210"/>
      <c r="ED89" s="210"/>
      <c r="EE89" s="211"/>
      <c r="EF89" s="392"/>
      <c r="EG89" s="210"/>
      <c r="EH89" s="210"/>
      <c r="EI89" s="210"/>
      <c r="EJ89" s="210"/>
      <c r="EK89" s="210"/>
      <c r="EL89" s="210"/>
      <c r="EM89" s="210"/>
      <c r="EN89" s="210"/>
      <c r="EO89" s="491"/>
      <c r="EP89" s="37"/>
      <c r="EQ89" s="37"/>
      <c r="ER89" s="377"/>
      <c r="ES89" s="377"/>
      <c r="ET89" s="377"/>
      <c r="EU89" s="377"/>
      <c r="EV89" s="377"/>
      <c r="EW89" s="377"/>
      <c r="EX89" s="377"/>
      <c r="EY89" s="377"/>
      <c r="EZ89" s="377"/>
      <c r="FA89" s="377"/>
      <c r="FB89" s="377"/>
      <c r="FC89" s="377"/>
      <c r="FD89" s="377"/>
      <c r="FE89" s="377"/>
      <c r="FF89" s="377"/>
      <c r="FG89" s="377"/>
      <c r="FH89" s="377"/>
      <c r="FI89" s="377"/>
      <c r="FJ89" s="377"/>
      <c r="FK89" s="377"/>
      <c r="FL89" s="377"/>
      <c r="FM89" s="377"/>
      <c r="FN89" s="377"/>
      <c r="FO89" s="377"/>
      <c r="FP89" s="377"/>
      <c r="FQ89" s="377"/>
      <c r="FR89" s="377"/>
      <c r="FS89" s="377"/>
      <c r="FT89" s="377"/>
      <c r="FU89" s="377"/>
      <c r="FV89" s="377"/>
      <c r="FW89" s="377"/>
      <c r="FX89" s="377"/>
      <c r="FY89" s="377"/>
      <c r="FZ89" s="377"/>
      <c r="GA89" s="377"/>
      <c r="GB89" s="377"/>
      <c r="GC89" s="377"/>
      <c r="GD89" s="377"/>
      <c r="GE89" s="377"/>
      <c r="GF89" s="377"/>
      <c r="GG89" s="377"/>
      <c r="GH89" s="377"/>
    </row>
    <row r="90" spans="1:190" ht="9.9499999999999993" customHeight="1" thickBot="1" x14ac:dyDescent="0.25">
      <c r="A90" s="445">
        <v>20</v>
      </c>
      <c r="B90" s="406"/>
      <c r="C90" s="406"/>
      <c r="D90" s="406"/>
      <c r="E90" s="406"/>
      <c r="F90" s="406"/>
      <c r="G90" s="406"/>
      <c r="H90" s="446"/>
      <c r="I90" s="405">
        <v>21</v>
      </c>
      <c r="J90" s="406"/>
      <c r="K90" s="406"/>
      <c r="L90" s="406"/>
      <c r="M90" s="406"/>
      <c r="N90" s="406"/>
      <c r="O90" s="406"/>
      <c r="P90" s="446"/>
      <c r="Q90" s="405">
        <v>22</v>
      </c>
      <c r="R90" s="406"/>
      <c r="S90" s="406"/>
      <c r="T90" s="406"/>
      <c r="U90" s="406"/>
      <c r="V90" s="406"/>
      <c r="W90" s="406"/>
      <c r="X90" s="446"/>
      <c r="Y90" s="405">
        <v>23</v>
      </c>
      <c r="Z90" s="406"/>
      <c r="AA90" s="406"/>
      <c r="AB90" s="406"/>
      <c r="AC90" s="406"/>
      <c r="AD90" s="406"/>
      <c r="AE90" s="406"/>
      <c r="AF90" s="446"/>
      <c r="AG90" s="405">
        <v>24</v>
      </c>
      <c r="AH90" s="406"/>
      <c r="AI90" s="406"/>
      <c r="AJ90" s="406"/>
      <c r="AK90" s="406"/>
      <c r="AL90" s="406"/>
      <c r="AM90" s="406"/>
      <c r="AN90" s="446"/>
      <c r="AO90" s="405">
        <v>25</v>
      </c>
      <c r="AP90" s="406"/>
      <c r="AQ90" s="406"/>
      <c r="AR90" s="406"/>
      <c r="AS90" s="406"/>
      <c r="AT90" s="406"/>
      <c r="AU90" s="406"/>
      <c r="AV90" s="406"/>
      <c r="AW90" s="446"/>
      <c r="AX90" s="405">
        <v>26</v>
      </c>
      <c r="AY90" s="406"/>
      <c r="AZ90" s="406"/>
      <c r="BA90" s="406"/>
      <c r="BB90" s="406"/>
      <c r="BC90" s="406"/>
      <c r="BD90" s="406"/>
      <c r="BE90" s="406"/>
      <c r="BF90" s="406"/>
      <c r="BG90" s="406"/>
      <c r="BH90" s="446"/>
      <c r="BI90" s="405">
        <v>27</v>
      </c>
      <c r="BJ90" s="406"/>
      <c r="BK90" s="406"/>
      <c r="BL90" s="406"/>
      <c r="BM90" s="406"/>
      <c r="BN90" s="406"/>
      <c r="BO90" s="406"/>
      <c r="BP90" s="406"/>
      <c r="BQ90" s="406"/>
      <c r="BR90" s="406"/>
      <c r="BS90" s="406"/>
      <c r="BT90" s="406"/>
      <c r="BU90" s="406"/>
      <c r="BV90" s="446"/>
      <c r="BW90" s="405">
        <v>28</v>
      </c>
      <c r="BX90" s="406"/>
      <c r="BY90" s="406"/>
      <c r="BZ90" s="406"/>
      <c r="CA90" s="406"/>
      <c r="CB90" s="406"/>
      <c r="CC90" s="406"/>
      <c r="CD90" s="406"/>
      <c r="CE90" s="406"/>
      <c r="CF90" s="406"/>
      <c r="CG90" s="406"/>
      <c r="CH90" s="406"/>
      <c r="CI90" s="406"/>
      <c r="CJ90" s="406"/>
      <c r="CK90" s="406"/>
      <c r="CL90" s="406"/>
      <c r="CM90" s="406"/>
      <c r="CN90" s="406"/>
      <c r="CO90" s="406"/>
      <c r="CP90" s="446"/>
      <c r="CQ90" s="405">
        <v>29</v>
      </c>
      <c r="CR90" s="406"/>
      <c r="CS90" s="406"/>
      <c r="CT90" s="406"/>
      <c r="CU90" s="406"/>
      <c r="CV90" s="406"/>
      <c r="CW90" s="406"/>
      <c r="CX90" s="406"/>
      <c r="CY90" s="406"/>
      <c r="CZ90" s="406"/>
      <c r="DA90" s="406"/>
      <c r="DB90" s="406"/>
      <c r="DC90" s="446"/>
      <c r="DD90" s="405">
        <v>30</v>
      </c>
      <c r="DE90" s="406"/>
      <c r="DF90" s="406"/>
      <c r="DG90" s="406"/>
      <c r="DH90" s="406"/>
      <c r="DI90" s="406"/>
      <c r="DJ90" s="406"/>
      <c r="DK90" s="406"/>
      <c r="DL90" s="406"/>
      <c r="DM90" s="406"/>
      <c r="DN90" s="406"/>
      <c r="DO90" s="406"/>
      <c r="DP90" s="406"/>
      <c r="DQ90" s="446"/>
      <c r="DR90" s="405">
        <v>31</v>
      </c>
      <c r="DS90" s="406"/>
      <c r="DT90" s="406"/>
      <c r="DU90" s="406"/>
      <c r="DV90" s="406"/>
      <c r="DW90" s="406"/>
      <c r="DX90" s="406"/>
      <c r="DY90" s="406"/>
      <c r="DZ90" s="406"/>
      <c r="EA90" s="406"/>
      <c r="EB90" s="406"/>
      <c r="EC90" s="406"/>
      <c r="ED90" s="406"/>
      <c r="EE90" s="446"/>
      <c r="EF90" s="405">
        <v>32</v>
      </c>
      <c r="EG90" s="406"/>
      <c r="EH90" s="406"/>
      <c r="EI90" s="406"/>
      <c r="EJ90" s="406"/>
      <c r="EK90" s="406"/>
      <c r="EL90" s="406"/>
      <c r="EM90" s="406"/>
      <c r="EN90" s="406"/>
      <c r="EO90" s="407"/>
      <c r="EP90" s="37"/>
      <c r="EQ90" s="37"/>
      <c r="ER90" s="370"/>
      <c r="ES90" s="370"/>
      <c r="ET90" s="370"/>
      <c r="EU90" s="370"/>
      <c r="EV90" s="370"/>
      <c r="EW90" s="370"/>
      <c r="EX90" s="370"/>
      <c r="EY90" s="370"/>
      <c r="EZ90" s="370"/>
      <c r="FA90" s="370"/>
      <c r="FB90" s="370"/>
      <c r="FC90" s="370"/>
      <c r="FD90" s="370"/>
      <c r="FE90" s="370"/>
      <c r="FF90" s="370"/>
      <c r="FG90" s="370"/>
      <c r="FH90" s="370"/>
      <c r="FI90" s="370"/>
      <c r="FJ90" s="370"/>
      <c r="FK90" s="370"/>
      <c r="FL90" s="370"/>
      <c r="FM90" s="370"/>
      <c r="FN90" s="370"/>
      <c r="FO90" s="370"/>
      <c r="FP90" s="370"/>
      <c r="FQ90" s="370"/>
      <c r="FR90" s="370"/>
      <c r="FS90" s="370"/>
      <c r="FT90" s="370"/>
      <c r="FU90" s="370"/>
      <c r="FV90" s="370"/>
      <c r="FW90" s="370"/>
      <c r="FX90" s="370"/>
      <c r="FY90" s="370"/>
      <c r="FZ90" s="370"/>
      <c r="GA90" s="370"/>
      <c r="GB90" s="370"/>
      <c r="GC90" s="370"/>
      <c r="GD90" s="370"/>
      <c r="GE90" s="370"/>
      <c r="GF90" s="370"/>
      <c r="GG90" s="370"/>
      <c r="GH90" s="370"/>
    </row>
    <row r="91" spans="1:190" ht="9.9499999999999993" customHeight="1" thickBot="1" x14ac:dyDescent="0.25">
      <c r="A91" s="495"/>
      <c r="B91" s="477"/>
      <c r="C91" s="477"/>
      <c r="D91" s="477"/>
      <c r="E91" s="477"/>
      <c r="F91" s="477"/>
      <c r="G91" s="477"/>
      <c r="H91" s="478"/>
      <c r="I91" s="476"/>
      <c r="J91" s="477"/>
      <c r="K91" s="477"/>
      <c r="L91" s="477"/>
      <c r="M91" s="477"/>
      <c r="N91" s="477"/>
      <c r="O91" s="477"/>
      <c r="P91" s="478"/>
      <c r="Q91" s="476"/>
      <c r="R91" s="477"/>
      <c r="S91" s="477"/>
      <c r="T91" s="477"/>
      <c r="U91" s="477"/>
      <c r="V91" s="477"/>
      <c r="W91" s="477"/>
      <c r="X91" s="478"/>
      <c r="Y91" s="476"/>
      <c r="Z91" s="477"/>
      <c r="AA91" s="477"/>
      <c r="AB91" s="477"/>
      <c r="AC91" s="477"/>
      <c r="AD91" s="477"/>
      <c r="AE91" s="477"/>
      <c r="AF91" s="478"/>
      <c r="AG91" s="476"/>
      <c r="AH91" s="477"/>
      <c r="AI91" s="477"/>
      <c r="AJ91" s="477"/>
      <c r="AK91" s="477"/>
      <c r="AL91" s="477"/>
      <c r="AM91" s="477"/>
      <c r="AN91" s="478"/>
      <c r="AO91" s="496"/>
      <c r="AP91" s="497"/>
      <c r="AQ91" s="497"/>
      <c r="AR91" s="497"/>
      <c r="AS91" s="497"/>
      <c r="AT91" s="497"/>
      <c r="AU91" s="497"/>
      <c r="AV91" s="497"/>
      <c r="AW91" s="498"/>
      <c r="AX91" s="476"/>
      <c r="AY91" s="477"/>
      <c r="AZ91" s="477"/>
      <c r="BA91" s="477"/>
      <c r="BB91" s="477"/>
      <c r="BC91" s="477"/>
      <c r="BD91" s="477"/>
      <c r="BE91" s="477"/>
      <c r="BF91" s="477"/>
      <c r="BG91" s="477"/>
      <c r="BH91" s="478"/>
      <c r="BI91" s="476"/>
      <c r="BJ91" s="477"/>
      <c r="BK91" s="477"/>
      <c r="BL91" s="477"/>
      <c r="BM91" s="477"/>
      <c r="BN91" s="477"/>
      <c r="BO91" s="477"/>
      <c r="BP91" s="477"/>
      <c r="BQ91" s="477"/>
      <c r="BR91" s="477"/>
      <c r="BS91" s="477"/>
      <c r="BT91" s="477"/>
      <c r="BU91" s="477"/>
      <c r="BV91" s="478"/>
      <c r="BW91" s="476"/>
      <c r="BX91" s="477"/>
      <c r="BY91" s="477"/>
      <c r="BZ91" s="477"/>
      <c r="CA91" s="477"/>
      <c r="CB91" s="477"/>
      <c r="CC91" s="477"/>
      <c r="CD91" s="477"/>
      <c r="CE91" s="477"/>
      <c r="CF91" s="477"/>
      <c r="CG91" s="477"/>
      <c r="CH91" s="477"/>
      <c r="CI91" s="477"/>
      <c r="CJ91" s="477"/>
      <c r="CK91" s="477"/>
      <c r="CL91" s="477"/>
      <c r="CM91" s="477"/>
      <c r="CN91" s="477"/>
      <c r="CO91" s="477"/>
      <c r="CP91" s="478"/>
      <c r="CQ91" s="476"/>
      <c r="CR91" s="477"/>
      <c r="CS91" s="477"/>
      <c r="CT91" s="477"/>
      <c r="CU91" s="477"/>
      <c r="CV91" s="477"/>
      <c r="CW91" s="477"/>
      <c r="CX91" s="477"/>
      <c r="CY91" s="477"/>
      <c r="CZ91" s="477"/>
      <c r="DA91" s="477"/>
      <c r="DB91" s="477"/>
      <c r="DC91" s="478"/>
      <c r="DD91" s="476"/>
      <c r="DE91" s="477"/>
      <c r="DF91" s="477"/>
      <c r="DG91" s="477"/>
      <c r="DH91" s="477"/>
      <c r="DI91" s="477"/>
      <c r="DJ91" s="477"/>
      <c r="DK91" s="477"/>
      <c r="DL91" s="477"/>
      <c r="DM91" s="477"/>
      <c r="DN91" s="477"/>
      <c r="DO91" s="477"/>
      <c r="DP91" s="477"/>
      <c r="DQ91" s="478"/>
      <c r="DR91" s="476"/>
      <c r="DS91" s="477"/>
      <c r="DT91" s="477"/>
      <c r="DU91" s="477"/>
      <c r="DV91" s="477"/>
      <c r="DW91" s="477"/>
      <c r="DX91" s="477"/>
      <c r="DY91" s="477"/>
      <c r="DZ91" s="477"/>
      <c r="EA91" s="477"/>
      <c r="EB91" s="477"/>
      <c r="EC91" s="477"/>
      <c r="ED91" s="477"/>
      <c r="EE91" s="478"/>
      <c r="EF91" s="476"/>
      <c r="EG91" s="477"/>
      <c r="EH91" s="477"/>
      <c r="EI91" s="477"/>
      <c r="EJ91" s="477"/>
      <c r="EK91" s="477"/>
      <c r="EL91" s="477"/>
      <c r="EM91" s="477"/>
      <c r="EN91" s="477"/>
      <c r="EO91" s="479"/>
      <c r="EP91" s="37"/>
      <c r="EQ91" s="37"/>
      <c r="ER91" s="494"/>
      <c r="ES91" s="494"/>
      <c r="ET91" s="494"/>
      <c r="EU91" s="494"/>
      <c r="EV91" s="494"/>
      <c r="EW91" s="494"/>
      <c r="EX91" s="494"/>
      <c r="EY91" s="494"/>
      <c r="EZ91" s="494"/>
      <c r="FA91" s="494"/>
      <c r="FB91" s="494"/>
      <c r="FC91" s="494"/>
      <c r="FD91" s="494"/>
      <c r="FE91" s="494"/>
      <c r="FF91" s="494"/>
      <c r="FG91" s="494"/>
      <c r="FH91" s="494"/>
      <c r="FI91" s="494"/>
      <c r="FJ91" s="494"/>
      <c r="FK91" s="494"/>
      <c r="FL91" s="494"/>
      <c r="FM91" s="494"/>
      <c r="FN91" s="494"/>
      <c r="FO91" s="494"/>
      <c r="FP91" s="494"/>
      <c r="FQ91" s="494"/>
      <c r="FR91" s="494"/>
      <c r="FS91" s="494"/>
      <c r="FT91" s="494"/>
      <c r="FU91" s="494"/>
      <c r="FV91" s="494"/>
      <c r="FW91" s="494"/>
      <c r="FX91" s="494"/>
      <c r="FY91" s="494"/>
      <c r="FZ91" s="494"/>
      <c r="GA91" s="494"/>
      <c r="GB91" s="494"/>
      <c r="GC91" s="494"/>
      <c r="GD91" s="494"/>
      <c r="GE91" s="494"/>
      <c r="GF91" s="494"/>
      <c r="GG91" s="494"/>
      <c r="GH91" s="494"/>
    </row>
  </sheetData>
  <mergeCells count="360">
    <mergeCell ref="ER91:GH91"/>
    <mergeCell ref="EF90:EO90"/>
    <mergeCell ref="A91:H91"/>
    <mergeCell ref="I91:P91"/>
    <mergeCell ref="Q91:X91"/>
    <mergeCell ref="Y91:AF91"/>
    <mergeCell ref="AG91:AN91"/>
    <mergeCell ref="AO91:AW91"/>
    <mergeCell ref="AX91:BH91"/>
    <mergeCell ref="BI91:BV91"/>
    <mergeCell ref="BW91:CP91"/>
    <mergeCell ref="AX90:BH90"/>
    <mergeCell ref="BI90:BV90"/>
    <mergeCell ref="BW90:CP90"/>
    <mergeCell ref="CQ90:DC90"/>
    <mergeCell ref="DD90:DQ90"/>
    <mergeCell ref="DR90:EE90"/>
    <mergeCell ref="I90:P90"/>
    <mergeCell ref="Q90:X90"/>
    <mergeCell ref="Y90:AF90"/>
    <mergeCell ref="AG90:AN90"/>
    <mergeCell ref="AO90:AW90"/>
    <mergeCell ref="CQ91:DC91"/>
    <mergeCell ref="DD91:DQ91"/>
    <mergeCell ref="DR91:EE91"/>
    <mergeCell ref="EF91:EO91"/>
    <mergeCell ref="FF86:GH86"/>
    <mergeCell ref="A87:H89"/>
    <mergeCell ref="I87:P89"/>
    <mergeCell ref="Q87:X89"/>
    <mergeCell ref="Y87:AF89"/>
    <mergeCell ref="AG87:AN89"/>
    <mergeCell ref="AO87:AW87"/>
    <mergeCell ref="AX87:BH89"/>
    <mergeCell ref="BI87:BV89"/>
    <mergeCell ref="CQ87:DC89"/>
    <mergeCell ref="A86:AN86"/>
    <mergeCell ref="AO86:AW86"/>
    <mergeCell ref="AX86:BV86"/>
    <mergeCell ref="BW86:CP89"/>
    <mergeCell ref="CQ86:DQ86"/>
    <mergeCell ref="DR86:EO86"/>
    <mergeCell ref="DD87:DQ89"/>
    <mergeCell ref="DR87:EE89"/>
    <mergeCell ref="EF87:EO89"/>
    <mergeCell ref="ER87:GH88"/>
    <mergeCell ref="AO88:AW88"/>
    <mergeCell ref="AO89:AW89"/>
    <mergeCell ref="ER89:GH90"/>
    <mergeCell ref="A90:H90"/>
    <mergeCell ref="A85:EO85"/>
    <mergeCell ref="EQ81:FD82"/>
    <mergeCell ref="FE81:FS82"/>
    <mergeCell ref="FT81:GH81"/>
    <mergeCell ref="DU82:EA82"/>
    <mergeCell ref="FT82:GH82"/>
    <mergeCell ref="A83:J83"/>
    <mergeCell ref="K83:AJ83"/>
    <mergeCell ref="AK83:BJ83"/>
    <mergeCell ref="BK83:CL83"/>
    <mergeCell ref="CM83:DT83"/>
    <mergeCell ref="FT80:GH80"/>
    <mergeCell ref="A81:J82"/>
    <mergeCell ref="K81:AJ82"/>
    <mergeCell ref="AK81:BJ82"/>
    <mergeCell ref="BK81:CL82"/>
    <mergeCell ref="CM81:DT82"/>
    <mergeCell ref="DU81:EA81"/>
    <mergeCell ref="EB81:EP82"/>
    <mergeCell ref="DU83:EA83"/>
    <mergeCell ref="EB83:EP83"/>
    <mergeCell ref="EQ83:FD83"/>
    <mergeCell ref="FE83:FS83"/>
    <mergeCell ref="FT83:GH83"/>
    <mergeCell ref="A80:J80"/>
    <mergeCell ref="K80:AJ80"/>
    <mergeCell ref="AK80:BJ80"/>
    <mergeCell ref="BK80:CL80"/>
    <mergeCell ref="CM80:DT80"/>
    <mergeCell ref="DU80:EA80"/>
    <mergeCell ref="EB80:EP80"/>
    <mergeCell ref="EQ80:FD80"/>
    <mergeCell ref="FE80:FS80"/>
    <mergeCell ref="A77:GH77"/>
    <mergeCell ref="A78:J79"/>
    <mergeCell ref="K78:AJ79"/>
    <mergeCell ref="AK78:BJ79"/>
    <mergeCell ref="BK78:CL79"/>
    <mergeCell ref="CM78:EA78"/>
    <mergeCell ref="EB78:FD78"/>
    <mergeCell ref="FE78:FS79"/>
    <mergeCell ref="FT78:GH79"/>
    <mergeCell ref="CM79:DT79"/>
    <mergeCell ref="DU79:EA79"/>
    <mergeCell ref="EB79:EP79"/>
    <mergeCell ref="EQ79:FD79"/>
    <mergeCell ref="EB70:EV72"/>
    <mergeCell ref="EX70:GH72"/>
    <mergeCell ref="I71:R72"/>
    <mergeCell ref="U71:AE72"/>
    <mergeCell ref="AH71:AX72"/>
    <mergeCell ref="CP72:CZ73"/>
    <mergeCell ref="DC72:DX73"/>
    <mergeCell ref="A73:S74"/>
    <mergeCell ref="EC73:GH74"/>
    <mergeCell ref="AA74:AV75"/>
    <mergeCell ref="EC75:GH76"/>
    <mergeCell ref="N76:X76"/>
    <mergeCell ref="AA76:AV76"/>
    <mergeCell ref="BY76:CK76"/>
    <mergeCell ref="CM76:CX76"/>
    <mergeCell ref="CZ76:DP76"/>
    <mergeCell ref="BE74:BM76"/>
    <mergeCell ref="DR74:DZ76"/>
    <mergeCell ref="N75:X75"/>
    <mergeCell ref="BY75:CK75"/>
    <mergeCell ref="CM75:CX75"/>
    <mergeCell ref="CZ75:DP75"/>
    <mergeCell ref="A69:G70"/>
    <mergeCell ref="Q69:AS69"/>
    <mergeCell ref="I70:R70"/>
    <mergeCell ref="U70:AE70"/>
    <mergeCell ref="AH70:AX70"/>
    <mergeCell ref="BP70:CO71"/>
    <mergeCell ref="CP70:CZ71"/>
    <mergeCell ref="DC70:DX71"/>
    <mergeCell ref="AA67:AR67"/>
    <mergeCell ref="AU67:BM67"/>
    <mergeCell ref="CS67:DA67"/>
    <mergeCell ref="DK67:DT67"/>
    <mergeCell ref="Q68:AS68"/>
    <mergeCell ref="CF68:DB68"/>
    <mergeCell ref="FE68:GH68"/>
    <mergeCell ref="FU64:GH64"/>
    <mergeCell ref="AU65:BM66"/>
    <mergeCell ref="EJ65:ET66"/>
    <mergeCell ref="EU65:FT65"/>
    <mergeCell ref="FU65:GH66"/>
    <mergeCell ref="CS66:DA66"/>
    <mergeCell ref="DC66:DI66"/>
    <mergeCell ref="CF69:DB69"/>
    <mergeCell ref="DK66:DT66"/>
    <mergeCell ref="FU63:GH63"/>
    <mergeCell ref="A64:C64"/>
    <mergeCell ref="D64:AH64"/>
    <mergeCell ref="AI64:BT64"/>
    <mergeCell ref="BU64:CL64"/>
    <mergeCell ref="CM64:DB64"/>
    <mergeCell ref="DC64:EI64"/>
    <mergeCell ref="EJ64:ET64"/>
    <mergeCell ref="EU64:FG64"/>
    <mergeCell ref="FH64:FT64"/>
    <mergeCell ref="A63:C63"/>
    <mergeCell ref="D63:AH63"/>
    <mergeCell ref="AI63:BT63"/>
    <mergeCell ref="BU63:CL63"/>
    <mergeCell ref="CM63:DB63"/>
    <mergeCell ref="DC63:EI63"/>
    <mergeCell ref="EJ63:ET63"/>
    <mergeCell ref="EU63:FG63"/>
    <mergeCell ref="FH63:FT63"/>
    <mergeCell ref="DC61:EI61"/>
    <mergeCell ref="EJ61:ET61"/>
    <mergeCell ref="EU61:FG61"/>
    <mergeCell ref="FH61:FT61"/>
    <mergeCell ref="FU61:GH61"/>
    <mergeCell ref="A62:AH62"/>
    <mergeCell ref="AI62:BT62"/>
    <mergeCell ref="BU62:CL62"/>
    <mergeCell ref="CM62:DB62"/>
    <mergeCell ref="DC62:EI62"/>
    <mergeCell ref="EJ62:ET62"/>
    <mergeCell ref="EU62:FG62"/>
    <mergeCell ref="FH62:FT62"/>
    <mergeCell ref="FU62:GH62"/>
    <mergeCell ref="A59:AF59"/>
    <mergeCell ref="AO59:BT60"/>
    <mergeCell ref="CH59:CY59"/>
    <mergeCell ref="A61:AH61"/>
    <mergeCell ref="AI61:BT61"/>
    <mergeCell ref="BU61:CL61"/>
    <mergeCell ref="CM61:DB61"/>
    <mergeCell ref="Q57:BU57"/>
    <mergeCell ref="CH57:CY57"/>
    <mergeCell ref="L48:BZ49"/>
    <mergeCell ref="CU48:FA49"/>
    <mergeCell ref="FP57:GH58"/>
    <mergeCell ref="A58:AF58"/>
    <mergeCell ref="CH58:CY58"/>
    <mergeCell ref="EF58:EW58"/>
    <mergeCell ref="Q55:CB55"/>
    <mergeCell ref="CT55:FC55"/>
    <mergeCell ref="FP55:GH56"/>
    <mergeCell ref="Q56:BU56"/>
    <mergeCell ref="CH56:CY56"/>
    <mergeCell ref="EF56:EW56"/>
    <mergeCell ref="FP48:GH51"/>
    <mergeCell ref="L50:BZ50"/>
    <mergeCell ref="A51:W52"/>
    <mergeCell ref="Y51:BZ51"/>
    <mergeCell ref="DF51:FH51"/>
    <mergeCell ref="Y52:BZ52"/>
    <mergeCell ref="FP52:GH54"/>
    <mergeCell ref="A53:S53"/>
    <mergeCell ref="T53:AG53"/>
    <mergeCell ref="AP53:BC53"/>
    <mergeCell ref="BI53:BV53"/>
    <mergeCell ref="Q54:CB54"/>
    <mergeCell ref="CT54:FC54"/>
    <mergeCell ref="X47:FM47"/>
    <mergeCell ref="A42:S42"/>
    <mergeCell ref="T42:AG42"/>
    <mergeCell ref="AP42:BC42"/>
    <mergeCell ref="BI42:BV42"/>
    <mergeCell ref="FP42:GH43"/>
    <mergeCell ref="V43:BH43"/>
    <mergeCell ref="ED38:ES38"/>
    <mergeCell ref="EV38:FF38"/>
    <mergeCell ref="FI38:GE38"/>
    <mergeCell ref="BC39:CR39"/>
    <mergeCell ref="EV39:FF39"/>
    <mergeCell ref="FI39:GE39"/>
    <mergeCell ref="A44:M45"/>
    <mergeCell ref="N44:CA45"/>
    <mergeCell ref="CO44:DF45"/>
    <mergeCell ref="EN44:FA45"/>
    <mergeCell ref="FB44:FN44"/>
    <mergeCell ref="FP44:GH45"/>
    <mergeCell ref="FB45:FN46"/>
    <mergeCell ref="N46:CA46"/>
    <mergeCell ref="CO46:DF46"/>
    <mergeCell ref="FP46:GH47"/>
    <mergeCell ref="AB36:AY36"/>
    <mergeCell ref="BB36:BO36"/>
    <mergeCell ref="BR36:CQ36"/>
    <mergeCell ref="CY36:GE36"/>
    <mergeCell ref="AB37:AY37"/>
    <mergeCell ref="BB37:BO37"/>
    <mergeCell ref="BR37:CQ37"/>
    <mergeCell ref="A34:W34"/>
    <mergeCell ref="Y34:AE34"/>
    <mergeCell ref="AG34:AX34"/>
    <mergeCell ref="BQ34:BZ34"/>
    <mergeCell ref="CC34:CU34"/>
    <mergeCell ref="CY34:FH35"/>
    <mergeCell ref="A31:U32"/>
    <mergeCell ref="EB32:ER32"/>
    <mergeCell ref="EU32:FF32"/>
    <mergeCell ref="FI32:GE32"/>
    <mergeCell ref="A33:W33"/>
    <mergeCell ref="Y33:AE33"/>
    <mergeCell ref="AG33:AX33"/>
    <mergeCell ref="BQ33:BZ33"/>
    <mergeCell ref="CC33:CU33"/>
    <mergeCell ref="AR30:AZ31"/>
    <mergeCell ref="BA30:BW32"/>
    <mergeCell ref="CY30:EA31"/>
    <mergeCell ref="EB30:ER31"/>
    <mergeCell ref="EU30:FF31"/>
    <mergeCell ref="FI30:GE31"/>
    <mergeCell ref="AV28:BU28"/>
    <mergeCell ref="DU28:EI28"/>
    <mergeCell ref="EP28:ET28"/>
    <mergeCell ref="EX28:FP28"/>
    <mergeCell ref="BW29:CB29"/>
    <mergeCell ref="CC29:CK29"/>
    <mergeCell ref="DJ29:GE29"/>
    <mergeCell ref="M26:AV26"/>
    <mergeCell ref="BV26:DP26"/>
    <mergeCell ref="EO26:FB26"/>
    <mergeCell ref="FC26:FM26"/>
    <mergeCell ref="AV27:BU27"/>
    <mergeCell ref="CE27:CU27"/>
    <mergeCell ref="W24:AJ24"/>
    <mergeCell ref="BV24:DP24"/>
    <mergeCell ref="DS24:EH25"/>
    <mergeCell ref="EO24:FB25"/>
    <mergeCell ref="FC24:FM25"/>
    <mergeCell ref="N25:AV25"/>
    <mergeCell ref="BV25:DP25"/>
    <mergeCell ref="EI25:EK25"/>
    <mergeCell ref="EO21:FB23"/>
    <mergeCell ref="FC21:FM23"/>
    <mergeCell ref="DS22:EH23"/>
    <mergeCell ref="W23:AJ23"/>
    <mergeCell ref="BV23:DP23"/>
    <mergeCell ref="EI23:EK23"/>
    <mergeCell ref="CV20:EL20"/>
    <mergeCell ref="EO20:FB20"/>
    <mergeCell ref="FC20:FM20"/>
    <mergeCell ref="FN18:GE18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BU18:DG18"/>
    <mergeCell ref="DH18:DR18"/>
    <mergeCell ref="DS18:EC18"/>
    <mergeCell ref="ED18:EN18"/>
    <mergeCell ref="EO18:FB18"/>
    <mergeCell ref="FC18:FM18"/>
    <mergeCell ref="EO17:FB17"/>
    <mergeCell ref="FC17:FM17"/>
    <mergeCell ref="FN17:GE17"/>
    <mergeCell ref="A18:K18"/>
    <mergeCell ref="L18:AE18"/>
    <mergeCell ref="AF18:AR18"/>
    <mergeCell ref="AS18:BD18"/>
    <mergeCell ref="BE18:BT18"/>
    <mergeCell ref="EO19:FB19"/>
    <mergeCell ref="FC19:FM19"/>
    <mergeCell ref="FN19:GE19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ED16:EN16"/>
    <mergeCell ref="EO16:FB16"/>
    <mergeCell ref="FC16:FM16"/>
    <mergeCell ref="FN16:GE16"/>
    <mergeCell ref="V14:EZ14"/>
    <mergeCell ref="A9:U9"/>
    <mergeCell ref="V9:EZ9"/>
    <mergeCell ref="FA9:FL9"/>
    <mergeCell ref="FM9:GE9"/>
    <mergeCell ref="A10:U11"/>
    <mergeCell ref="V10:EZ10"/>
    <mergeCell ref="FA10:FL11"/>
    <mergeCell ref="FM10:GE11"/>
    <mergeCell ref="V11:EZ11"/>
    <mergeCell ref="FM4:GE4"/>
    <mergeCell ref="FM5:GE5"/>
    <mergeCell ref="DR6:FG6"/>
    <mergeCell ref="FM6:GE6"/>
    <mergeCell ref="DR7:FG7"/>
    <mergeCell ref="FM7:GE8"/>
    <mergeCell ref="A12:O13"/>
    <mergeCell ref="V12:EZ12"/>
    <mergeCell ref="FA12:FL13"/>
    <mergeCell ref="FM12:GE13"/>
    <mergeCell ref="V13:EZ13"/>
  </mergeCells>
  <conditionalFormatting sqref="ED18:FB18">
    <cfRule type="cellIs" dxfId="0" priority="1" operator="equal">
      <formula>0</formula>
    </cfRule>
  </conditionalFormatting>
  <hyperlinks>
    <hyperlink ref="BD6" r:id="rId1"/>
  </hyperlinks>
  <pageMargins left="0.78740157480314965" right="0.39370078740157483" top="0.78740157480314965" bottom="0.39370078740157483" header="0.19685039370078741" footer="0.19685039370078741"/>
  <pageSetup paperSize="9" scale="97" fitToHeight="0" orientation="landscape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M3"/>
  <sheetViews>
    <sheetView workbookViewId="0">
      <selection activeCell="E1" sqref="E1:M2"/>
    </sheetView>
  </sheetViews>
  <sheetFormatPr defaultColWidth="12.42578125" defaultRowHeight="12.75" x14ac:dyDescent="0.2"/>
  <cols>
    <col min="1" max="1" width="10.140625" style="50" customWidth="1"/>
    <col min="2" max="2" width="11.5703125" style="50" customWidth="1"/>
    <col min="3" max="3" width="9.7109375" style="50" customWidth="1"/>
    <col min="4" max="4" width="5" style="50" bestFit="1" customWidth="1"/>
    <col min="5" max="5" width="13.5703125" style="50" bestFit="1" customWidth="1"/>
    <col min="6" max="6" width="9.5703125" style="50" bestFit="1" customWidth="1"/>
    <col min="7" max="7" width="13.42578125" style="50" bestFit="1" customWidth="1"/>
    <col min="8" max="8" width="7.140625" style="50" bestFit="1" customWidth="1"/>
    <col min="9" max="9" width="11" style="50" bestFit="1" customWidth="1"/>
    <col min="10" max="10" width="7.85546875" style="50" bestFit="1" customWidth="1"/>
    <col min="11" max="11" width="6.5703125" style="50" bestFit="1" customWidth="1"/>
    <col min="12" max="12" width="8.28515625" style="50" bestFit="1" customWidth="1"/>
    <col min="13" max="13" width="9.42578125" style="50" bestFit="1" customWidth="1"/>
    <col min="14" max="16384" width="12.42578125" style="50"/>
  </cols>
  <sheetData>
    <row r="1" spans="2:13" ht="16.5" x14ac:dyDescent="0.3">
      <c r="D1" s="94"/>
      <c r="E1" s="94" t="s">
        <v>214</v>
      </c>
      <c r="F1" s="94" t="s">
        <v>215</v>
      </c>
      <c r="G1" s="94" t="s">
        <v>216</v>
      </c>
      <c r="H1" s="94" t="s">
        <v>217</v>
      </c>
      <c r="I1" s="94" t="s">
        <v>218</v>
      </c>
      <c r="J1" s="94" t="s">
        <v>219</v>
      </c>
      <c r="K1" s="95" t="s">
        <v>220</v>
      </c>
      <c r="L1" s="95" t="s">
        <v>221</v>
      </c>
      <c r="M1" s="95" t="s">
        <v>222</v>
      </c>
    </row>
    <row r="2" spans="2:13" ht="33" x14ac:dyDescent="0.3">
      <c r="B2" s="96"/>
      <c r="D2" s="97"/>
      <c r="E2" s="98" t="s">
        <v>223</v>
      </c>
      <c r="F2" s="98" t="s">
        <v>224</v>
      </c>
      <c r="G2" s="98" t="s">
        <v>225</v>
      </c>
      <c r="H2" s="98" t="s">
        <v>226</v>
      </c>
      <c r="I2" s="98" t="s">
        <v>227</v>
      </c>
      <c r="J2" s="98" t="s">
        <v>228</v>
      </c>
      <c r="K2" s="99">
        <v>1850</v>
      </c>
      <c r="L2" s="99">
        <v>317</v>
      </c>
      <c r="M2" s="100">
        <v>43458</v>
      </c>
    </row>
    <row r="3" spans="2:13" ht="16.5" x14ac:dyDescent="0.3">
      <c r="D3" s="97"/>
      <c r="E3" s="98"/>
      <c r="F3" s="98"/>
      <c r="G3" s="98"/>
      <c r="H3" s="98"/>
      <c r="I3" s="98"/>
      <c r="J3" s="9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50"/>
  <sheetViews>
    <sheetView topLeftCell="A15" workbookViewId="0">
      <selection activeCell="C23" sqref="C23"/>
    </sheetView>
  </sheetViews>
  <sheetFormatPr defaultRowHeight="12.75" x14ac:dyDescent="0.2"/>
  <cols>
    <col min="1" max="1" width="18.85546875" style="50" customWidth="1"/>
    <col min="2" max="2" width="9.7109375" style="50" bestFit="1" customWidth="1"/>
    <col min="3" max="256" width="9.140625" style="50"/>
    <col min="257" max="257" width="18.85546875" style="50" customWidth="1"/>
    <col min="258" max="258" width="9.7109375" style="50" bestFit="1" customWidth="1"/>
    <col min="259" max="512" width="9.140625" style="50"/>
    <col min="513" max="513" width="18.85546875" style="50" customWidth="1"/>
    <col min="514" max="514" width="9.7109375" style="50" bestFit="1" customWidth="1"/>
    <col min="515" max="768" width="9.140625" style="50"/>
    <col min="769" max="769" width="18.85546875" style="50" customWidth="1"/>
    <col min="770" max="770" width="9.7109375" style="50" bestFit="1" customWidth="1"/>
    <col min="771" max="1024" width="9.140625" style="50"/>
    <col min="1025" max="1025" width="18.85546875" style="50" customWidth="1"/>
    <col min="1026" max="1026" width="9.7109375" style="50" bestFit="1" customWidth="1"/>
    <col min="1027" max="1280" width="9.140625" style="50"/>
    <col min="1281" max="1281" width="18.85546875" style="50" customWidth="1"/>
    <col min="1282" max="1282" width="9.7109375" style="50" bestFit="1" customWidth="1"/>
    <col min="1283" max="1536" width="9.140625" style="50"/>
    <col min="1537" max="1537" width="18.85546875" style="50" customWidth="1"/>
    <col min="1538" max="1538" width="9.7109375" style="50" bestFit="1" customWidth="1"/>
    <col min="1539" max="1792" width="9.140625" style="50"/>
    <col min="1793" max="1793" width="18.85546875" style="50" customWidth="1"/>
    <col min="1794" max="1794" width="9.7109375" style="50" bestFit="1" customWidth="1"/>
    <col min="1795" max="2048" width="9.140625" style="50"/>
    <col min="2049" max="2049" width="18.85546875" style="50" customWidth="1"/>
    <col min="2050" max="2050" width="9.7109375" style="50" bestFit="1" customWidth="1"/>
    <col min="2051" max="2304" width="9.140625" style="50"/>
    <col min="2305" max="2305" width="18.85546875" style="50" customWidth="1"/>
    <col min="2306" max="2306" width="9.7109375" style="50" bestFit="1" customWidth="1"/>
    <col min="2307" max="2560" width="9.140625" style="50"/>
    <col min="2561" max="2561" width="18.85546875" style="50" customWidth="1"/>
    <col min="2562" max="2562" width="9.7109375" style="50" bestFit="1" customWidth="1"/>
    <col min="2563" max="2816" width="9.140625" style="50"/>
    <col min="2817" max="2817" width="18.85546875" style="50" customWidth="1"/>
    <col min="2818" max="2818" width="9.7109375" style="50" bestFit="1" customWidth="1"/>
    <col min="2819" max="3072" width="9.140625" style="50"/>
    <col min="3073" max="3073" width="18.85546875" style="50" customWidth="1"/>
    <col min="3074" max="3074" width="9.7109375" style="50" bestFit="1" customWidth="1"/>
    <col min="3075" max="3328" width="9.140625" style="50"/>
    <col min="3329" max="3329" width="18.85546875" style="50" customWidth="1"/>
    <col min="3330" max="3330" width="9.7109375" style="50" bestFit="1" customWidth="1"/>
    <col min="3331" max="3584" width="9.140625" style="50"/>
    <col min="3585" max="3585" width="18.85546875" style="50" customWidth="1"/>
    <col min="3586" max="3586" width="9.7109375" style="50" bestFit="1" customWidth="1"/>
    <col min="3587" max="3840" width="9.140625" style="50"/>
    <col min="3841" max="3841" width="18.85546875" style="50" customWidth="1"/>
    <col min="3842" max="3842" width="9.7109375" style="50" bestFit="1" customWidth="1"/>
    <col min="3843" max="4096" width="9.140625" style="50"/>
    <col min="4097" max="4097" width="18.85546875" style="50" customWidth="1"/>
    <col min="4098" max="4098" width="9.7109375" style="50" bestFit="1" customWidth="1"/>
    <col min="4099" max="4352" width="9.140625" style="50"/>
    <col min="4353" max="4353" width="18.85546875" style="50" customWidth="1"/>
    <col min="4354" max="4354" width="9.7109375" style="50" bestFit="1" customWidth="1"/>
    <col min="4355" max="4608" width="9.140625" style="50"/>
    <col min="4609" max="4609" width="18.85546875" style="50" customWidth="1"/>
    <col min="4610" max="4610" width="9.7109375" style="50" bestFit="1" customWidth="1"/>
    <col min="4611" max="4864" width="9.140625" style="50"/>
    <col min="4865" max="4865" width="18.85546875" style="50" customWidth="1"/>
    <col min="4866" max="4866" width="9.7109375" style="50" bestFit="1" customWidth="1"/>
    <col min="4867" max="5120" width="9.140625" style="50"/>
    <col min="5121" max="5121" width="18.85546875" style="50" customWidth="1"/>
    <col min="5122" max="5122" width="9.7109375" style="50" bestFit="1" customWidth="1"/>
    <col min="5123" max="5376" width="9.140625" style="50"/>
    <col min="5377" max="5377" width="18.85546875" style="50" customWidth="1"/>
    <col min="5378" max="5378" width="9.7109375" style="50" bestFit="1" customWidth="1"/>
    <col min="5379" max="5632" width="9.140625" style="50"/>
    <col min="5633" max="5633" width="18.85546875" style="50" customWidth="1"/>
    <col min="5634" max="5634" width="9.7109375" style="50" bestFit="1" customWidth="1"/>
    <col min="5635" max="5888" width="9.140625" style="50"/>
    <col min="5889" max="5889" width="18.85546875" style="50" customWidth="1"/>
    <col min="5890" max="5890" width="9.7109375" style="50" bestFit="1" customWidth="1"/>
    <col min="5891" max="6144" width="9.140625" style="50"/>
    <col min="6145" max="6145" width="18.85546875" style="50" customWidth="1"/>
    <col min="6146" max="6146" width="9.7109375" style="50" bestFit="1" customWidth="1"/>
    <col min="6147" max="6400" width="9.140625" style="50"/>
    <col min="6401" max="6401" width="18.85546875" style="50" customWidth="1"/>
    <col min="6402" max="6402" width="9.7109375" style="50" bestFit="1" customWidth="1"/>
    <col min="6403" max="6656" width="9.140625" style="50"/>
    <col min="6657" max="6657" width="18.85546875" style="50" customWidth="1"/>
    <col min="6658" max="6658" width="9.7109375" style="50" bestFit="1" customWidth="1"/>
    <col min="6659" max="6912" width="9.140625" style="50"/>
    <col min="6913" max="6913" width="18.85546875" style="50" customWidth="1"/>
    <col min="6914" max="6914" width="9.7109375" style="50" bestFit="1" customWidth="1"/>
    <col min="6915" max="7168" width="9.140625" style="50"/>
    <col min="7169" max="7169" width="18.85546875" style="50" customWidth="1"/>
    <col min="7170" max="7170" width="9.7109375" style="50" bestFit="1" customWidth="1"/>
    <col min="7171" max="7424" width="9.140625" style="50"/>
    <col min="7425" max="7425" width="18.85546875" style="50" customWidth="1"/>
    <col min="7426" max="7426" width="9.7109375" style="50" bestFit="1" customWidth="1"/>
    <col min="7427" max="7680" width="9.140625" style="50"/>
    <col min="7681" max="7681" width="18.85546875" style="50" customWidth="1"/>
    <col min="7682" max="7682" width="9.7109375" style="50" bestFit="1" customWidth="1"/>
    <col min="7683" max="7936" width="9.140625" style="50"/>
    <col min="7937" max="7937" width="18.85546875" style="50" customWidth="1"/>
    <col min="7938" max="7938" width="9.7109375" style="50" bestFit="1" customWidth="1"/>
    <col min="7939" max="8192" width="9.140625" style="50"/>
    <col min="8193" max="8193" width="18.85546875" style="50" customWidth="1"/>
    <col min="8194" max="8194" width="9.7109375" style="50" bestFit="1" customWidth="1"/>
    <col min="8195" max="8448" width="9.140625" style="50"/>
    <col min="8449" max="8449" width="18.85546875" style="50" customWidth="1"/>
    <col min="8450" max="8450" width="9.7109375" style="50" bestFit="1" customWidth="1"/>
    <col min="8451" max="8704" width="9.140625" style="50"/>
    <col min="8705" max="8705" width="18.85546875" style="50" customWidth="1"/>
    <col min="8706" max="8706" width="9.7109375" style="50" bestFit="1" customWidth="1"/>
    <col min="8707" max="8960" width="9.140625" style="50"/>
    <col min="8961" max="8961" width="18.85546875" style="50" customWidth="1"/>
    <col min="8962" max="8962" width="9.7109375" style="50" bestFit="1" customWidth="1"/>
    <col min="8963" max="9216" width="9.140625" style="50"/>
    <col min="9217" max="9217" width="18.85546875" style="50" customWidth="1"/>
    <col min="9218" max="9218" width="9.7109375" style="50" bestFit="1" customWidth="1"/>
    <col min="9219" max="9472" width="9.140625" style="50"/>
    <col min="9473" max="9473" width="18.85546875" style="50" customWidth="1"/>
    <col min="9474" max="9474" width="9.7109375" style="50" bestFit="1" customWidth="1"/>
    <col min="9475" max="9728" width="9.140625" style="50"/>
    <col min="9729" max="9729" width="18.85546875" style="50" customWidth="1"/>
    <col min="9730" max="9730" width="9.7109375" style="50" bestFit="1" customWidth="1"/>
    <col min="9731" max="9984" width="9.140625" style="50"/>
    <col min="9985" max="9985" width="18.85546875" style="50" customWidth="1"/>
    <col min="9986" max="9986" width="9.7109375" style="50" bestFit="1" customWidth="1"/>
    <col min="9987" max="10240" width="9.140625" style="50"/>
    <col min="10241" max="10241" width="18.85546875" style="50" customWidth="1"/>
    <col min="10242" max="10242" width="9.7109375" style="50" bestFit="1" customWidth="1"/>
    <col min="10243" max="10496" width="9.140625" style="50"/>
    <col min="10497" max="10497" width="18.85546875" style="50" customWidth="1"/>
    <col min="10498" max="10498" width="9.7109375" style="50" bestFit="1" customWidth="1"/>
    <col min="10499" max="10752" width="9.140625" style="50"/>
    <col min="10753" max="10753" width="18.85546875" style="50" customWidth="1"/>
    <col min="10754" max="10754" width="9.7109375" style="50" bestFit="1" customWidth="1"/>
    <col min="10755" max="11008" width="9.140625" style="50"/>
    <col min="11009" max="11009" width="18.85546875" style="50" customWidth="1"/>
    <col min="11010" max="11010" width="9.7109375" style="50" bestFit="1" customWidth="1"/>
    <col min="11011" max="11264" width="9.140625" style="50"/>
    <col min="11265" max="11265" width="18.85546875" style="50" customWidth="1"/>
    <col min="11266" max="11266" width="9.7109375" style="50" bestFit="1" customWidth="1"/>
    <col min="11267" max="11520" width="9.140625" style="50"/>
    <col min="11521" max="11521" width="18.85546875" style="50" customWidth="1"/>
    <col min="11522" max="11522" width="9.7109375" style="50" bestFit="1" customWidth="1"/>
    <col min="11523" max="11776" width="9.140625" style="50"/>
    <col min="11777" max="11777" width="18.85546875" style="50" customWidth="1"/>
    <col min="11778" max="11778" width="9.7109375" style="50" bestFit="1" customWidth="1"/>
    <col min="11779" max="12032" width="9.140625" style="50"/>
    <col min="12033" max="12033" width="18.85546875" style="50" customWidth="1"/>
    <col min="12034" max="12034" width="9.7109375" style="50" bestFit="1" customWidth="1"/>
    <col min="12035" max="12288" width="9.140625" style="50"/>
    <col min="12289" max="12289" width="18.85546875" style="50" customWidth="1"/>
    <col min="12290" max="12290" width="9.7109375" style="50" bestFit="1" customWidth="1"/>
    <col min="12291" max="12544" width="9.140625" style="50"/>
    <col min="12545" max="12545" width="18.85546875" style="50" customWidth="1"/>
    <col min="12546" max="12546" width="9.7109375" style="50" bestFit="1" customWidth="1"/>
    <col min="12547" max="12800" width="9.140625" style="50"/>
    <col min="12801" max="12801" width="18.85546875" style="50" customWidth="1"/>
    <col min="12802" max="12802" width="9.7109375" style="50" bestFit="1" customWidth="1"/>
    <col min="12803" max="13056" width="9.140625" style="50"/>
    <col min="13057" max="13057" width="18.85546875" style="50" customWidth="1"/>
    <col min="13058" max="13058" width="9.7109375" style="50" bestFit="1" customWidth="1"/>
    <col min="13059" max="13312" width="9.140625" style="50"/>
    <col min="13313" max="13313" width="18.85546875" style="50" customWidth="1"/>
    <col min="13314" max="13314" width="9.7109375" style="50" bestFit="1" customWidth="1"/>
    <col min="13315" max="13568" width="9.140625" style="50"/>
    <col min="13569" max="13569" width="18.85546875" style="50" customWidth="1"/>
    <col min="13570" max="13570" width="9.7109375" style="50" bestFit="1" customWidth="1"/>
    <col min="13571" max="13824" width="9.140625" style="50"/>
    <col min="13825" max="13825" width="18.85546875" style="50" customWidth="1"/>
    <col min="13826" max="13826" width="9.7109375" style="50" bestFit="1" customWidth="1"/>
    <col min="13827" max="14080" width="9.140625" style="50"/>
    <col min="14081" max="14081" width="18.85546875" style="50" customWidth="1"/>
    <col min="14082" max="14082" width="9.7109375" style="50" bestFit="1" customWidth="1"/>
    <col min="14083" max="14336" width="9.140625" style="50"/>
    <col min="14337" max="14337" width="18.85546875" style="50" customWidth="1"/>
    <col min="14338" max="14338" width="9.7109375" style="50" bestFit="1" customWidth="1"/>
    <col min="14339" max="14592" width="9.140625" style="50"/>
    <col min="14593" max="14593" width="18.85546875" style="50" customWidth="1"/>
    <col min="14594" max="14594" width="9.7109375" style="50" bestFit="1" customWidth="1"/>
    <col min="14595" max="14848" width="9.140625" style="50"/>
    <col min="14849" max="14849" width="18.85546875" style="50" customWidth="1"/>
    <col min="14850" max="14850" width="9.7109375" style="50" bestFit="1" customWidth="1"/>
    <col min="14851" max="15104" width="9.140625" style="50"/>
    <col min="15105" max="15105" width="18.85546875" style="50" customWidth="1"/>
    <col min="15106" max="15106" width="9.7109375" style="50" bestFit="1" customWidth="1"/>
    <col min="15107" max="15360" width="9.140625" style="50"/>
    <col min="15361" max="15361" width="18.85546875" style="50" customWidth="1"/>
    <col min="15362" max="15362" width="9.7109375" style="50" bestFit="1" customWidth="1"/>
    <col min="15363" max="15616" width="9.140625" style="50"/>
    <col min="15617" max="15617" width="18.85546875" style="50" customWidth="1"/>
    <col min="15618" max="15618" width="9.7109375" style="50" bestFit="1" customWidth="1"/>
    <col min="15619" max="15872" width="9.140625" style="50"/>
    <col min="15873" max="15873" width="18.85546875" style="50" customWidth="1"/>
    <col min="15874" max="15874" width="9.7109375" style="50" bestFit="1" customWidth="1"/>
    <col min="15875" max="16128" width="9.140625" style="50"/>
    <col min="16129" max="16129" width="18.85546875" style="50" customWidth="1"/>
    <col min="16130" max="16130" width="9.7109375" style="50" bestFit="1" customWidth="1"/>
    <col min="16131" max="16384" width="9.140625" style="50"/>
  </cols>
  <sheetData>
    <row r="1" spans="1:13" s="101" customFormat="1" ht="18" x14ac:dyDescent="0.25">
      <c r="A1" s="101" t="s">
        <v>185</v>
      </c>
      <c r="B1" s="102"/>
    </row>
    <row r="2" spans="1:13" s="103" customFormat="1" x14ac:dyDescent="0.2">
      <c r="B2" s="104"/>
    </row>
    <row r="3" spans="1:13" x14ac:dyDescent="0.2">
      <c r="A3" s="105">
        <v>999999999999.98999</v>
      </c>
      <c r="B3" s="102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n0x,MID(TEXT(A3,n0),11,1)+1,MID(TEXT(A3,n0),12,1)+1)),"z"," ")&amp;IF(TRUNC(TEXT(A3,n0)),"","Ноль ")&amp;"рубл"&amp;VLOOKUP(MOD(MAX(MOD(MID(TEXT(A3,n0),11,2)-11,100),9),10),{0,"ь ";1,"я ";4,"ей "},2)&amp;RIGHT(TEXT(A3,n0),2)&amp;" копе"&amp;VLOOKUP(MOD(MAX(MOD(RIGHT(TEXT(A3,n0),2)-11,100),9),10),{0,"йка";1,"йки";4,"ек"},2)</f>
        <v>Девятьсот девяносто девять миллиардов девятьсот девяносто девять миллионов девятьсот девяносто девять тысяч девятьсот девяносто девять рублей 99 копеек</v>
      </c>
    </row>
    <row r="4" spans="1:13" s="106" customFormat="1" x14ac:dyDescent="0.2">
      <c r="A4" s="106" t="s">
        <v>186</v>
      </c>
      <c r="F4" s="50"/>
      <c r="G4" s="50"/>
      <c r="H4" s="50"/>
      <c r="J4" s="50"/>
      <c r="K4" s="50"/>
      <c r="L4" s="50"/>
      <c r="M4" s="50"/>
    </row>
    <row r="5" spans="1:13" x14ac:dyDescent="0.2">
      <c r="A5" s="105">
        <v>0.23</v>
      </c>
      <c r="B5" s="102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n0x,MID(TEXT(A5,n0),11,1)+1,MID(TEXT(A5,n0),12,1)+1)),"z"," ")&amp;IF(TRUNC(TEXT(A5,n0)),"","Ноль ")&amp;"рубл"&amp;VLOOKUP(MOD(MAX(MOD(MID(TEXT(A5,n0),11,2)-11,100),9),10),{0,"ь ";1,"я ";4,"ей "},2)&amp;RIGHT(TEXT(A5,n0),2)&amp;" копе"&amp;VLOOKUP(MOD(MAX(MOD(RIGHT(TEXT(A5,n0),2)-11,100),9),10),{0,"йка";1,"йки";4,"ек"},2)</f>
        <v>Ноль рублей 23 копейки</v>
      </c>
    </row>
    <row r="6" spans="1:13" x14ac:dyDescent="0.2">
      <c r="A6" s="105">
        <v>1</v>
      </c>
      <c r="B6" s="102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n0x,MID(TEXT(A6,n0),11,1)+1,MID(TEXT(A6,n0),12,1)+1)),"z"," ")&amp;IF(TRUNC(TEXT(A6,n0)),"","Ноль ")&amp;"рубл"&amp;VLOOKUP(MOD(MAX(MOD(MID(TEXT(A6,n0),11,2)-11,100),9),10),{0,"ь ";1,"я ";4,"ей "},2)&amp;RIGHT(TEXT(A6,n0),2)&amp;" копе"&amp;VLOOKUP(MOD(MAX(MOD(RIGHT(TEXT(A6,n0),2)-11,100),9),10),{0,"йка";1,"йки";4,"ек"},2)</f>
        <v>Один рубль 00 копеек</v>
      </c>
    </row>
    <row r="7" spans="1:13" x14ac:dyDescent="0.2">
      <c r="A7" s="105">
        <v>2.0099999999999998</v>
      </c>
      <c r="B7" s="102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n0x,MID(TEXT(A7,n0),11,1)+1,MID(TEXT(A7,n0),12,1)+1)),"z"," ")&amp;IF(TRUNC(TEXT(A7,n0)),"","Ноль ")&amp;"рубл"&amp;VLOOKUP(MOD(MAX(MOD(MID(TEXT(A7,n0),11,2)-11,100),9),10),{0,"ь ";1,"я ";4,"ей "},2)&amp;RIGHT(TEXT(A7,n0),2)&amp;" копе"&amp;VLOOKUP(MOD(MAX(MOD(RIGHT(TEXT(A7,n0),2)-11,100),9),10),{0,"йка";1,"йки";4,"ек"},2)</f>
        <v>Два рубля 01 копейка</v>
      </c>
    </row>
    <row r="8" spans="1:13" x14ac:dyDescent="0.2">
      <c r="A8" s="105">
        <v>4.99</v>
      </c>
      <c r="B8" s="102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n0x,MID(TEXT(A8,n0),11,1)+1,MID(TEXT(A8,n0),12,1)+1)),"z"," ")&amp;IF(TRUNC(TEXT(A8,n0)),"","Ноль ")&amp;"рубл"&amp;VLOOKUP(MOD(MAX(MOD(MID(TEXT(A8,n0),11,2)-11,100),9),10),{0,"ь ";1,"я ";4,"ей "},2)&amp;RIGHT(TEXT(A8,n0),2)&amp;" копе"&amp;VLOOKUP(MOD(MAX(MOD(RIGHT(TEXT(A8,n0),2)-11,100),9),10),{0,"йка";1,"йки";4,"ек"},2)</f>
        <v>Четыре рубля 99 копеек</v>
      </c>
    </row>
    <row r="9" spans="1:13" x14ac:dyDescent="0.2">
      <c r="A9" s="105">
        <v>5.1100000000000003</v>
      </c>
      <c r="B9" s="102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n0x,MID(TEXT(A9,n0),11,1)+1,MID(TEXT(A9,n0),12,1)+1)),"z"," ")&amp;IF(TRUNC(TEXT(A9,n0)),"","Ноль ")&amp;"рубл"&amp;VLOOKUP(MOD(MAX(MOD(MID(TEXT(A9,n0),11,2)-11,100),9),10),{0,"ь ";1,"я ";4,"ей "},2)&amp;RIGHT(TEXT(A9,n0),2)&amp;" копе"&amp;VLOOKUP(MOD(MAX(MOD(RIGHT(TEXT(A9,n0),2)-11,100),9),10),{0,"йка";1,"йки";4,"ек"},2)</f>
        <v>Пять рублей 11 копеек</v>
      </c>
    </row>
    <row r="10" spans="1:13" x14ac:dyDescent="0.2">
      <c r="A10" s="105">
        <v>10.119999999999999</v>
      </c>
      <c r="B10" s="102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n0x,MID(TEXT(A10,n0),11,1)+1,MID(TEXT(A10,n0),12,1)+1)),"z"," ")&amp;IF(TRUNC(TEXT(A10,n0)),"","Ноль ")&amp;"рубл"&amp;VLOOKUP(MOD(MAX(MOD(MID(TEXT(A10,n0),11,2)-11,100),9),10),{0,"ь ";1,"я ";4,"ей "},2)&amp;RIGHT(TEXT(A10,n0),2)&amp;" копе"&amp;VLOOKUP(MOD(MAX(MOD(RIGHT(TEXT(A10,n0),2)-11,100),9),10),{0,"йка";1,"йки";4,"ек"},2)</f>
        <v>Десять рублей 12 копеек</v>
      </c>
    </row>
    <row r="11" spans="1:13" x14ac:dyDescent="0.2">
      <c r="A11" s="105">
        <v>11.21</v>
      </c>
      <c r="B11" s="102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n0x,MID(TEXT(A11,n0),11,1)+1,MID(TEXT(A11,n0),12,1)+1)),"z"," ")&amp;IF(TRUNC(TEXT(A11,n0)),"","Ноль ")&amp;"рубл"&amp;VLOOKUP(MOD(MAX(MOD(MID(TEXT(A11,n0),11,2)-11,100),9),10),{0,"ь ";1,"я ";4,"ей "},2)&amp;RIGHT(TEXT(A11,n0),2)&amp;" копе"&amp;VLOOKUP(MOD(MAX(MOD(RIGHT(TEXT(A11,n0),2)-11,100),9),10),{0,"йка";1,"йки";4,"ек"},2)</f>
        <v>Одиннадцать рублей 21 копейка</v>
      </c>
    </row>
    <row r="12" spans="1:13" x14ac:dyDescent="0.2">
      <c r="A12" s="105">
        <v>12.43</v>
      </c>
      <c r="B12" s="102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n0x,MID(TEXT(A12,n0),11,1)+1,MID(TEXT(A12,n0),12,1)+1)),"z"," ")&amp;IF(TRUNC(TEXT(A12,n0)),"","Ноль ")&amp;"рубл"&amp;VLOOKUP(MOD(MAX(MOD(MID(TEXT(A12,n0),11,2)-11,100),9),10),{0,"ь ";1,"я ";4,"ей "},2)&amp;RIGHT(TEXT(A12,n0),2)&amp;" копе"&amp;VLOOKUP(MOD(MAX(MOD(RIGHT(TEXT(A12,n0),2)-11,100),9),10),{0,"йка";1,"йки";4,"ек"},2)</f>
        <v>Двенадцать рублей 43 копейки</v>
      </c>
    </row>
    <row r="13" spans="1:13" x14ac:dyDescent="0.2">
      <c r="A13" s="105">
        <v>21</v>
      </c>
      <c r="B13" s="102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n0x,MID(TEXT(A13,n0),11,1)+1,MID(TEXT(A13,n0),12,1)+1)),"z"," ")&amp;IF(TRUNC(TEXT(A13,n0)),"","Ноль ")&amp;"рубл"&amp;VLOOKUP(MOD(MAX(MOD(MID(TEXT(A13,n0),11,2)-11,100),9),10),{0,"ь ";1,"я ";4,"ей "},2)&amp;RIGHT(TEXT(A13,n0),2)&amp;" копе"&amp;VLOOKUP(MOD(MAX(MOD(RIGHT(TEXT(A13,n0),2)-11,100),9),10),{0,"йка";1,"йки";4,"ек"},2)</f>
        <v>Двадцать один рубль 00 копеек</v>
      </c>
    </row>
    <row r="14" spans="1:13" x14ac:dyDescent="0.2">
      <c r="A14" s="105">
        <v>100</v>
      </c>
      <c r="B14" s="102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n0x,MID(TEXT(A14,n0),11,1)+1,MID(TEXT(A14,n0),12,1)+1)),"z"," ")&amp;IF(TRUNC(TEXT(A14,n0)),"","Ноль ")&amp;"рубл"&amp;VLOOKUP(MOD(MAX(MOD(MID(TEXT(A14,n0),11,2)-11,100),9),10),{0,"ь ";1,"я ";4,"ей "},2)&amp;RIGHT(TEXT(A14,n0),2)&amp;" копе"&amp;VLOOKUP(MOD(MAX(MOD(RIGHT(TEXT(A14,n0),2)-11,100),9),10),{0,"йка";1,"йки";4,"ек"},2)</f>
        <v>Сто рублей 00 копеек</v>
      </c>
    </row>
    <row r="15" spans="1:13" x14ac:dyDescent="0.2">
      <c r="A15" s="105">
        <v>101.2</v>
      </c>
      <c r="B15" s="102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n0x,MID(TEXT(A15,n0),11,1)+1,MID(TEXT(A15,n0),12,1)+1)),"z"," ")&amp;IF(TRUNC(TEXT(A15,n0)),"","Ноль ")&amp;"рубл"&amp;VLOOKUP(MOD(MAX(MOD(MID(TEXT(A15,n0),11,2)-11,100),9),10),{0,"ь ";1,"я ";4,"ей "},2)&amp;RIGHT(TEXT(A15,n0),2)&amp;" копе"&amp;VLOOKUP(MOD(MAX(MOD(RIGHT(TEXT(A15,n0),2)-11,100),9),10),{0,"йка";1,"йки";4,"ек"},2)</f>
        <v>Сто один рубль 20 копеек</v>
      </c>
    </row>
    <row r="16" spans="1:13" x14ac:dyDescent="0.2">
      <c r="A16" s="105">
        <v>121.22</v>
      </c>
      <c r="B16" s="102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n0x,MID(TEXT(A16,n0),11,1)+1,MID(TEXT(A16,n0),12,1)+1)),"z"," ")&amp;IF(TRUNC(TEXT(A16,n0)),"","Ноль ")&amp;"рубл"&amp;VLOOKUP(MOD(MAX(MOD(MID(TEXT(A16,n0),11,2)-11,100),9),10),{0,"ь ";1,"я ";4,"ей "},2)&amp;RIGHT(TEXT(A16,n0),2)&amp;" копе"&amp;VLOOKUP(MOD(MAX(MOD(RIGHT(TEXT(A16,n0),2)-11,100),9),10),{0,"йка";1,"йки";4,"ек"},2)</f>
        <v>Сто двадцать один рубль 22 копейки</v>
      </c>
    </row>
    <row r="17" spans="1:16" x14ac:dyDescent="0.2">
      <c r="A17" s="105">
        <v>1000.16</v>
      </c>
      <c r="B17" s="102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n0x,MID(TEXT(A17,n0),11,1)+1,MID(TEXT(A17,n0),12,1)+1)),"z"," ")&amp;IF(TRUNC(TEXT(A17,n0)),"","Ноль ")&amp;"рубл"&amp;VLOOKUP(MOD(MAX(MOD(MID(TEXT(A17,n0),11,2)-11,100),9),10),{0,"ь ";1,"я ";4,"ей "},2)&amp;RIGHT(TEXT(A17,n0),2)&amp;" копе"&amp;VLOOKUP(MOD(MAX(MOD(RIGHT(TEXT(A17,n0),2)-11,100),9),10),{0,"йка";1,"йки";4,"ек"},2)</f>
        <v>Одна тысяча рублей 16 копеек</v>
      </c>
    </row>
    <row r="18" spans="1:16" x14ac:dyDescent="0.2">
      <c r="A18" s="105">
        <v>1002.51</v>
      </c>
      <c r="B18" s="102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n0x,MID(TEXT(A18,n0),11,1)+1,MID(TEXT(A18,n0),12,1)+1)),"z"," ")&amp;IF(TRUNC(TEXT(A18,n0)),"","Ноль ")&amp;"рубл"&amp;VLOOKUP(MOD(MAX(MOD(MID(TEXT(A18,n0),11,2)-11,100),9),10),{0,"ь ";1,"я ";4,"ей "},2)&amp;RIGHT(TEXT(A18,n0),2)&amp;" копе"&amp;VLOOKUP(MOD(MAX(MOD(RIGHT(TEXT(A18,n0),2)-11,100),9),10),{0,"йка";1,"йки";4,"ек"},2)</f>
        <v>Одна тысяча два рубля 51 копейка</v>
      </c>
    </row>
    <row r="19" spans="1:16" x14ac:dyDescent="0.2">
      <c r="A19" s="105">
        <v>120101.1</v>
      </c>
      <c r="B19" s="102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n0x,MID(TEXT(A19,n0),11,1)+1,MID(TEXT(A19,n0),12,1)+1)),"z"," ")&amp;IF(TRUNC(TEXT(A19,n0)),"","Ноль ")&amp;"рубл"&amp;VLOOKUP(MOD(MAX(MOD(MID(TEXT(A19,n0),11,2)-11,100),9),10),{0,"ь ";1,"я ";4,"ей "},2)&amp;RIGHT(TEXT(A19,n0),2)&amp;" копе"&amp;VLOOKUP(MOD(MAX(MOD(RIGHT(TEXT(A19,n0),2)-11,100),9),10),{0,"йка";1,"йки";4,"ек"},2)</f>
        <v>Сто двадцать тысяч сто один рубль 10 копеек</v>
      </c>
    </row>
    <row r="20" spans="1:16" x14ac:dyDescent="0.2">
      <c r="A20" s="105">
        <v>2000000</v>
      </c>
      <c r="B20" s="102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n0x,MID(TEXT(A20,n0),11,1)+1,MID(TEXT(A20,n0),12,1)+1)),"z"," ")&amp;IF(TRUNC(TEXT(A20,n0)),"","Ноль ")&amp;"рубл"&amp;VLOOKUP(MOD(MAX(MOD(MID(TEXT(A20,n0),11,2)-11,100),9),10),{0,"ь ";1,"я ";4,"ей "},2)&amp;RIGHT(TEXT(A20,n0),2)&amp;" копе"&amp;VLOOKUP(MOD(MAX(MOD(RIGHT(TEXT(A20,n0),2)-11,100),9),10),{0,"йка";1,"йки";4,"ек"},2)</f>
        <v>Два миллиона рублей 00 копеек</v>
      </c>
    </row>
    <row r="21" spans="1:16" x14ac:dyDescent="0.2">
      <c r="A21" s="105">
        <v>11102345.23</v>
      </c>
      <c r="B21" s="102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n0x,MID(TEXT(A21,n0),11,1)+1,MID(TEXT(A21,n0),12,1)+1)),"z"," ")&amp;IF(TRUNC(TEXT(A21,n0)),"","Ноль ")&amp;"рубл"&amp;VLOOKUP(MOD(MAX(MOD(MID(TEXT(A21,n0),11,2)-11,100),9),10),{0,"ь ";1,"я ";4,"ей "},2)&amp;RIGHT(TEXT(A21,n0),2)&amp;" копе"&amp;VLOOKUP(MOD(MAX(MOD(RIGHT(TEXT(A21,n0),2)-11,100),9),10),{0,"йка";1,"йки";4,"ек"},2)</f>
        <v>Одиннадцать миллионов сто две тысячи триста сорок пять рублей 23 копейки</v>
      </c>
    </row>
    <row r="22" spans="1:16" x14ac:dyDescent="0.2">
      <c r="A22" s="105">
        <v>123456789.31999999</v>
      </c>
      <c r="B22" s="102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n0x,MID(TEXT(A22,n0),11,1)+1,MID(TEXT(A22,n0),12,1)+1)),"z"," ")&amp;IF(TRUNC(TEXT(A22,n0)),"","Ноль ")&amp;"рубл"&amp;VLOOKUP(MOD(MAX(MOD(MID(TEXT(A22,n0),11,2)-11,100),9),10),{0,"ь ";1,"я ";4,"ей "},2)&amp;RIGHT(TEXT(A22,n0),2)&amp;" копе"&amp;VLOOKUP(MOD(MAX(MOD(RIGHT(TEXT(A22,n0),2)-11,100),9),10),{0,"йка";1,"йки";4,"ек"},2)</f>
        <v>Сто двадцать три миллиона четыреста пятьдесят шесть тысяч семьсот восемьдесят девять рублей 32 копейки</v>
      </c>
    </row>
    <row r="23" spans="1:16" x14ac:dyDescent="0.2">
      <c r="A23" s="105"/>
      <c r="B23" s="102"/>
      <c r="P23" s="107"/>
    </row>
    <row r="24" spans="1:16" s="106" customFormat="1" x14ac:dyDescent="0.2">
      <c r="A24" s="108" t="s">
        <v>187</v>
      </c>
      <c r="J24" s="50"/>
      <c r="K24" s="50"/>
      <c r="L24" s="50"/>
      <c r="M24" s="50"/>
    </row>
    <row r="25" spans="1:16" x14ac:dyDescent="0.2">
      <c r="A25" s="105">
        <f ca="1">ROUND((RAND()*1000000),2)</f>
        <v>867478.87</v>
      </c>
      <c r="B25" s="102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n0x,MID(TEXT(A25,n0),11,1)+1,MID(TEXT(A25,n0),12,1)+1)),"z"," ")&amp;IF(TRUNC(TEXT(A25,n0)),"","Ноль ")&amp;"рубл"&amp;VLOOKUP(MOD(MAX(MOD(MID(TEXT(A25,n0),11,2)-11,100),9),10),{0,"ь ";1,"я ";4,"ей "},2)&amp;RIGHT(TEXT(A25,n0),2)&amp;" копе"&amp;VLOOKUP(MOD(MAX(MOD(RIGHT(TEXT(A25,n0),2)-11,100),9),10),{0,"йка";1,"йки";4,"ек"},2)</f>
        <v>Восемьсот шестьдесят семь тысяч четыреста семьдесят восемь рублей 87 копеек</v>
      </c>
    </row>
    <row r="26" spans="1:16" x14ac:dyDescent="0.2">
      <c r="A26" s="105">
        <f ca="1">ROUND((RAND()*10000000),2)</f>
        <v>5969047.4400000004</v>
      </c>
      <c r="B26" s="102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n0x,MID(TEXT(A26,n0),11,1)+1,MID(TEXT(A26,n0),12,1)+1)),"z"," ")&amp;IF(TRUNC(TEXT(A26,n0)),"","Ноль ")&amp;"рубл"&amp;VLOOKUP(MOD(MAX(MOD(MID(TEXT(A26,n0),11,2)-11,100),9),10),{0,"ь ";1,"я ";4,"ей "},2)&amp;RIGHT(TEXT(A26,n0),2)&amp;" копе"&amp;VLOOKUP(MOD(MAX(MOD(RIGHT(TEXT(A26,n0),2)-11,100),9),10),{0,"йка";1,"йки";4,"ек"},2)</f>
        <v>Пять миллионов девятьсот шестьдесят девять тысяч сорок семь рублей 44 копейки</v>
      </c>
    </row>
    <row r="27" spans="1:16" x14ac:dyDescent="0.2">
      <c r="A27" s="105">
        <f ca="1">ROUND((RAND()*100000000),2)</f>
        <v>39156186.770000003</v>
      </c>
      <c r="B27" s="102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n0x,MID(TEXT(A27,n0),11,1)+1,MID(TEXT(A27,n0),12,1)+1)),"z"," ")&amp;IF(TRUNC(TEXT(A27,n0)),"","Ноль ")&amp;"рубл"&amp;VLOOKUP(MOD(MAX(MOD(MID(TEXT(A27,n0),11,2)-11,100),9),10),{0,"ь ";1,"я ";4,"ей "},2)&amp;RIGHT(TEXT(A27,n0),2)&amp;" копе"&amp;VLOOKUP(MOD(MAX(MOD(RIGHT(TEXT(A27,n0),2)-11,100),9),10),{0,"йка";1,"йки";4,"ек"},2)</f>
        <v>Тридцать девять миллионов сто пятьдесят шесть тысяч сто восемьдесят шесть рублей 77 копеек</v>
      </c>
    </row>
    <row r="28" spans="1:16" x14ac:dyDescent="0.2">
      <c r="A28" s="105">
        <f ca="1">ROUND((RAND()*1000000000),2)</f>
        <v>707941231.72000003</v>
      </c>
      <c r="B28" s="102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n0x,MID(TEXT(A28,n0),11,1)+1,MID(TEXT(A28,n0),12,1)+1)),"z"," ")&amp;IF(TRUNC(TEXT(A28,n0)),"","Ноль ")&amp;"рубл"&amp;VLOOKUP(MOD(MAX(MOD(MID(TEXT(A28,n0),11,2)-11,100),9),10),{0,"ь ";1,"я ";4,"ей "},2)&amp;RIGHT(TEXT(A28,n0),2)&amp;" копе"&amp;VLOOKUP(MOD(MAX(MOD(RIGHT(TEXT(A28,n0),2)-11,100),9),10),{0,"йка";1,"йки";4,"ек"},2)</f>
        <v>Семьсот семь миллионов девятьсот сорок одна тысяча двести тридцать один рубль 72 копейки</v>
      </c>
    </row>
    <row r="29" spans="1:16" x14ac:dyDescent="0.2">
      <c r="A29" s="105">
        <f ca="1">ROUND((RAND()*1000000000000),2)</f>
        <v>858683818296.90002</v>
      </c>
      <c r="B29" s="102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n0x,MID(TEXT(A29,n0),11,1)+1,MID(TEXT(A29,n0),12,1)+1)),"z"," ")&amp;IF(TRUNC(TEXT(A29,n0)),"","Ноль ")&amp;"рубл"&amp;VLOOKUP(MOD(MAX(MOD(MID(TEXT(A29,n0),11,2)-11,100),9),10),{0,"ь ";1,"я ";4,"ей "},2)&amp;RIGHT(TEXT(A29,n0),2)&amp;" копе"&amp;VLOOKUP(MOD(MAX(MOD(RIGHT(TEXT(A29,n0),2)-11,100),9),10),{0,"йка";1,"йки";4,"ек"},2)</f>
        <v>Восемьсот пятьдесят восемь миллиардов шестьсот восемьдесят три миллиона восемьсот восемнадцать тысяч двести девяносто шесть рублей 90 копеек</v>
      </c>
    </row>
    <row r="30" spans="1:16" x14ac:dyDescent="0.2">
      <c r="A30" s="105"/>
      <c r="B30" s="104"/>
    </row>
    <row r="31" spans="1:16" x14ac:dyDescent="0.2">
      <c r="A31" s="106" t="s">
        <v>188</v>
      </c>
      <c r="B31" s="109" t="s">
        <v>189</v>
      </c>
    </row>
    <row r="32" spans="1:16" x14ac:dyDescent="0.2">
      <c r="A32" s="106" t="s">
        <v>190</v>
      </c>
      <c r="B32" s="110">
        <f>LEN(B31)</f>
        <v>986</v>
      </c>
    </row>
    <row r="33" spans="1:3" x14ac:dyDescent="0.2">
      <c r="A33" s="106" t="s">
        <v>191</v>
      </c>
      <c r="B33" s="111" t="s">
        <v>192</v>
      </c>
    </row>
    <row r="34" spans="1:3" x14ac:dyDescent="0.2">
      <c r="A34" s="106" t="s">
        <v>190</v>
      </c>
      <c r="B34" s="110">
        <f>LEN(B33)</f>
        <v>933</v>
      </c>
    </row>
    <row r="35" spans="1:3" x14ac:dyDescent="0.2">
      <c r="B35" s="110"/>
    </row>
    <row r="36" spans="1:3" x14ac:dyDescent="0.2">
      <c r="A36" s="106" t="s">
        <v>193</v>
      </c>
      <c r="B36" s="112" t="s">
        <v>194</v>
      </c>
      <c r="C36" s="112" t="s">
        <v>195</v>
      </c>
    </row>
    <row r="37" spans="1:3" x14ac:dyDescent="0.2">
      <c r="B37" s="112" t="s">
        <v>196</v>
      </c>
      <c r="C37" s="112" t="s">
        <v>197</v>
      </c>
    </row>
    <row r="38" spans="1:3" x14ac:dyDescent="0.2">
      <c r="B38" s="112" t="s">
        <v>198</v>
      </c>
      <c r="C38" s="112" t="s">
        <v>199</v>
      </c>
    </row>
    <row r="39" spans="1:3" x14ac:dyDescent="0.2">
      <c r="B39" s="112" t="s">
        <v>200</v>
      </c>
      <c r="C39" s="112" t="s">
        <v>201</v>
      </c>
    </row>
    <row r="40" spans="1:3" x14ac:dyDescent="0.2">
      <c r="B40" s="112" t="s">
        <v>202</v>
      </c>
      <c r="C40" s="112" t="s">
        <v>203</v>
      </c>
    </row>
    <row r="41" spans="1:3" x14ac:dyDescent="0.2">
      <c r="B41" s="112" t="s">
        <v>204</v>
      </c>
      <c r="C41" s="112" t="s">
        <v>205</v>
      </c>
    </row>
    <row r="42" spans="1:3" x14ac:dyDescent="0.2">
      <c r="B42" s="112" t="s">
        <v>206</v>
      </c>
      <c r="C42" s="112" t="s">
        <v>207</v>
      </c>
    </row>
    <row r="43" spans="1:3" x14ac:dyDescent="0.2">
      <c r="B43" s="112" t="s">
        <v>208</v>
      </c>
      <c r="C43" s="112" t="s">
        <v>209</v>
      </c>
    </row>
    <row r="44" spans="1:3" x14ac:dyDescent="0.2">
      <c r="B44" s="112" t="s">
        <v>210</v>
      </c>
      <c r="C44" s="112" t="s">
        <v>211</v>
      </c>
    </row>
    <row r="45" spans="1:3" x14ac:dyDescent="0.2">
      <c r="B45" s="112" t="s">
        <v>212</v>
      </c>
      <c r="C45" s="112" t="s">
        <v>213</v>
      </c>
    </row>
    <row r="46" spans="1:3" x14ac:dyDescent="0.2">
      <c r="C46" s="107"/>
    </row>
    <row r="48" spans="1:3" x14ac:dyDescent="0.2">
      <c r="C48" s="107"/>
    </row>
    <row r="49" spans="3:3" x14ac:dyDescent="0.2">
      <c r="C49" s="107"/>
    </row>
    <row r="50" spans="3:3" x14ac:dyDescent="0.2">
      <c r="C50" s="1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TTN</vt:lpstr>
      <vt:lpstr>TMP</vt:lpstr>
      <vt:lpstr>1toONE</vt:lpstr>
      <vt:lpstr>TTN!Область_печати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Куликов Никита С.</cp:lastModifiedBy>
  <cp:lastPrinted>2018-10-23T13:45:50Z</cp:lastPrinted>
  <dcterms:created xsi:type="dcterms:W3CDTF">2015-06-05T18:19:34Z</dcterms:created>
  <dcterms:modified xsi:type="dcterms:W3CDTF">2019-01-24T12:16:17Z</dcterms:modified>
</cp:coreProperties>
</file>