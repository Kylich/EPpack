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EPpack\PONY\"/>
    </mc:Choice>
  </mc:AlternateContent>
  <xr:revisionPtr revIDLastSave="0" documentId="13_ncr:1_{028D4B4B-5362-43A8-A5E1-4570899267A8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Ktmp" sheetId="6" r:id="rId1"/>
    <sheet name="Kend" sheetId="5" r:id="rId2"/>
    <sheet name="Kend (3)" sheetId="83" r:id="rId3"/>
    <sheet name="Kend (2)" sheetId="167" r:id="rId4"/>
  </sheets>
  <functionGroups builtInGroupCount="19"/>
  <calcPr calcId="191029"/>
</workbook>
</file>

<file path=xl/calcChain.xml><?xml version="1.0" encoding="utf-8"?>
<calcChain xmlns="http://schemas.openxmlformats.org/spreadsheetml/2006/main">
  <c r="C11" i="167" l="1"/>
  <c r="I9" i="167"/>
  <c r="J9" i="167" s="1"/>
  <c r="H9" i="167"/>
  <c r="G9" i="167"/>
  <c r="F9" i="167"/>
  <c r="E9" i="167"/>
  <c r="D9" i="167"/>
  <c r="C9" i="167"/>
  <c r="B9" i="167"/>
  <c r="I8" i="167"/>
  <c r="I10" i="167" s="1"/>
  <c r="H8" i="167"/>
  <c r="H10" i="167" s="1"/>
  <c r="G8" i="167"/>
  <c r="F8" i="167"/>
  <c r="E8" i="167"/>
  <c r="D8" i="167"/>
  <c r="C8" i="167"/>
  <c r="B8" i="167"/>
  <c r="C1" i="167"/>
  <c r="A1" i="167"/>
  <c r="J8" i="167" l="1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D10" i="5" l="1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9" i="5"/>
  <c r="D8" i="5"/>
  <c r="C109" i="83" l="1"/>
  <c r="I107" i="83"/>
  <c r="J107" i="83" s="1"/>
  <c r="H107" i="83"/>
  <c r="G107" i="83"/>
  <c r="F107" i="83"/>
  <c r="E107" i="83"/>
  <c r="C107" i="83"/>
  <c r="B107" i="83"/>
  <c r="I106" i="83"/>
  <c r="J106" i="83" s="1"/>
  <c r="H106" i="83"/>
  <c r="G106" i="83"/>
  <c r="F106" i="83"/>
  <c r="E106" i="83"/>
  <c r="C106" i="83"/>
  <c r="B106" i="83"/>
  <c r="I105" i="83"/>
  <c r="J105" i="83" s="1"/>
  <c r="H105" i="83"/>
  <c r="G105" i="83"/>
  <c r="F105" i="83"/>
  <c r="E105" i="83"/>
  <c r="C105" i="83"/>
  <c r="B105" i="83"/>
  <c r="I104" i="83"/>
  <c r="J104" i="83" s="1"/>
  <c r="H104" i="83"/>
  <c r="G104" i="83"/>
  <c r="F104" i="83"/>
  <c r="E104" i="83"/>
  <c r="C104" i="83"/>
  <c r="B104" i="83"/>
  <c r="I103" i="83"/>
  <c r="J103" i="83" s="1"/>
  <c r="H103" i="83"/>
  <c r="G103" i="83"/>
  <c r="F103" i="83"/>
  <c r="E103" i="83"/>
  <c r="C103" i="83"/>
  <c r="B103" i="83"/>
  <c r="I102" i="83"/>
  <c r="J102" i="83" s="1"/>
  <c r="H102" i="83"/>
  <c r="G102" i="83"/>
  <c r="F102" i="83"/>
  <c r="E102" i="83"/>
  <c r="C102" i="83"/>
  <c r="B102" i="83"/>
  <c r="I101" i="83"/>
  <c r="J101" i="83" s="1"/>
  <c r="H101" i="83"/>
  <c r="G101" i="83"/>
  <c r="F101" i="83"/>
  <c r="E101" i="83"/>
  <c r="C101" i="83"/>
  <c r="B101" i="83"/>
  <c r="I100" i="83"/>
  <c r="J100" i="83" s="1"/>
  <c r="H100" i="83"/>
  <c r="G100" i="83"/>
  <c r="F100" i="83"/>
  <c r="E100" i="83"/>
  <c r="C100" i="83"/>
  <c r="B100" i="83"/>
  <c r="I99" i="83"/>
  <c r="J99" i="83" s="1"/>
  <c r="H99" i="83"/>
  <c r="G99" i="83"/>
  <c r="F99" i="83"/>
  <c r="E99" i="83"/>
  <c r="C99" i="83"/>
  <c r="B99" i="83"/>
  <c r="I98" i="83"/>
  <c r="J98" i="83" s="1"/>
  <c r="H98" i="83"/>
  <c r="G98" i="83"/>
  <c r="F98" i="83"/>
  <c r="E98" i="83"/>
  <c r="C98" i="83"/>
  <c r="B98" i="83"/>
  <c r="I97" i="83"/>
  <c r="J97" i="83" s="1"/>
  <c r="H97" i="83"/>
  <c r="G97" i="83"/>
  <c r="F97" i="83"/>
  <c r="E97" i="83"/>
  <c r="C97" i="83"/>
  <c r="B97" i="83"/>
  <c r="I96" i="83"/>
  <c r="J96" i="83" s="1"/>
  <c r="H96" i="83"/>
  <c r="G96" i="83"/>
  <c r="F96" i="83"/>
  <c r="E96" i="83"/>
  <c r="C96" i="83"/>
  <c r="B96" i="83"/>
  <c r="I95" i="83"/>
  <c r="J95" i="83" s="1"/>
  <c r="H95" i="83"/>
  <c r="G95" i="83"/>
  <c r="F95" i="83"/>
  <c r="E95" i="83"/>
  <c r="C95" i="83"/>
  <c r="B95" i="83"/>
  <c r="I94" i="83"/>
  <c r="J94" i="83" s="1"/>
  <c r="H94" i="83"/>
  <c r="G94" i="83"/>
  <c r="F94" i="83"/>
  <c r="E94" i="83"/>
  <c r="C94" i="83"/>
  <c r="B94" i="83"/>
  <c r="I93" i="83"/>
  <c r="J93" i="83" s="1"/>
  <c r="H93" i="83"/>
  <c r="G93" i="83"/>
  <c r="F93" i="83"/>
  <c r="E93" i="83"/>
  <c r="C93" i="83"/>
  <c r="B93" i="83"/>
  <c r="I92" i="83"/>
  <c r="J92" i="83" s="1"/>
  <c r="H92" i="83"/>
  <c r="G92" i="83"/>
  <c r="F92" i="83"/>
  <c r="E92" i="83"/>
  <c r="C92" i="83"/>
  <c r="B92" i="83"/>
  <c r="I91" i="83"/>
  <c r="J91" i="83" s="1"/>
  <c r="H91" i="83"/>
  <c r="G91" i="83"/>
  <c r="F91" i="83"/>
  <c r="E91" i="83"/>
  <c r="C91" i="83"/>
  <c r="B91" i="83"/>
  <c r="I90" i="83"/>
  <c r="J90" i="83" s="1"/>
  <c r="H90" i="83"/>
  <c r="G90" i="83"/>
  <c r="F90" i="83"/>
  <c r="E90" i="83"/>
  <c r="C90" i="83"/>
  <c r="B90" i="83"/>
  <c r="I89" i="83"/>
  <c r="J89" i="83" s="1"/>
  <c r="H89" i="83"/>
  <c r="G89" i="83"/>
  <c r="F89" i="83"/>
  <c r="E89" i="83"/>
  <c r="C89" i="83"/>
  <c r="B89" i="83"/>
  <c r="I88" i="83"/>
  <c r="J88" i="83" s="1"/>
  <c r="H88" i="83"/>
  <c r="G88" i="83"/>
  <c r="F88" i="83"/>
  <c r="E88" i="83"/>
  <c r="C88" i="83"/>
  <c r="B88" i="83"/>
  <c r="I87" i="83"/>
  <c r="J87" i="83" s="1"/>
  <c r="H87" i="83"/>
  <c r="G87" i="83"/>
  <c r="F87" i="83"/>
  <c r="E87" i="83"/>
  <c r="C87" i="83"/>
  <c r="B87" i="83"/>
  <c r="I86" i="83"/>
  <c r="J86" i="83" s="1"/>
  <c r="H86" i="83"/>
  <c r="G86" i="83"/>
  <c r="F86" i="83"/>
  <c r="E86" i="83"/>
  <c r="C86" i="83"/>
  <c r="B86" i="83"/>
  <c r="I85" i="83"/>
  <c r="J85" i="83" s="1"/>
  <c r="H85" i="83"/>
  <c r="G85" i="83"/>
  <c r="F85" i="83"/>
  <c r="E85" i="83"/>
  <c r="C85" i="83"/>
  <c r="B85" i="83"/>
  <c r="I84" i="83"/>
  <c r="J84" i="83" s="1"/>
  <c r="H84" i="83"/>
  <c r="G84" i="83"/>
  <c r="F84" i="83"/>
  <c r="E84" i="83"/>
  <c r="C84" i="83"/>
  <c r="B84" i="83"/>
  <c r="I83" i="83"/>
  <c r="J83" i="83" s="1"/>
  <c r="H83" i="83"/>
  <c r="G83" i="83"/>
  <c r="F83" i="83"/>
  <c r="E83" i="83"/>
  <c r="C83" i="83"/>
  <c r="B83" i="83"/>
  <c r="I82" i="83"/>
  <c r="J82" i="83" s="1"/>
  <c r="H82" i="83"/>
  <c r="G82" i="83"/>
  <c r="F82" i="83"/>
  <c r="E82" i="83"/>
  <c r="C82" i="83"/>
  <c r="B82" i="83"/>
  <c r="I81" i="83"/>
  <c r="J81" i="83" s="1"/>
  <c r="H81" i="83"/>
  <c r="G81" i="83"/>
  <c r="F81" i="83"/>
  <c r="E81" i="83"/>
  <c r="C81" i="83"/>
  <c r="B81" i="83"/>
  <c r="I80" i="83"/>
  <c r="J80" i="83" s="1"/>
  <c r="H80" i="83"/>
  <c r="G80" i="83"/>
  <c r="F80" i="83"/>
  <c r="E80" i="83"/>
  <c r="C80" i="83"/>
  <c r="B80" i="83"/>
  <c r="I79" i="83"/>
  <c r="J79" i="83" s="1"/>
  <c r="H79" i="83"/>
  <c r="G79" i="83"/>
  <c r="F79" i="83"/>
  <c r="E79" i="83"/>
  <c r="C79" i="83"/>
  <c r="B79" i="83"/>
  <c r="I78" i="83"/>
  <c r="J78" i="83" s="1"/>
  <c r="H78" i="83"/>
  <c r="G78" i="83"/>
  <c r="F78" i="83"/>
  <c r="E78" i="83"/>
  <c r="C78" i="83"/>
  <c r="B78" i="83"/>
  <c r="I77" i="83"/>
  <c r="J77" i="83" s="1"/>
  <c r="H77" i="83"/>
  <c r="G77" i="83"/>
  <c r="F77" i="83"/>
  <c r="E77" i="83"/>
  <c r="C77" i="83"/>
  <c r="B77" i="83"/>
  <c r="I76" i="83"/>
  <c r="J76" i="83" s="1"/>
  <c r="H76" i="83"/>
  <c r="G76" i="83"/>
  <c r="F76" i="83"/>
  <c r="E76" i="83"/>
  <c r="C76" i="83"/>
  <c r="B76" i="83"/>
  <c r="I75" i="83"/>
  <c r="J75" i="83" s="1"/>
  <c r="H75" i="83"/>
  <c r="G75" i="83"/>
  <c r="F75" i="83"/>
  <c r="E75" i="83"/>
  <c r="C75" i="83"/>
  <c r="B75" i="83"/>
  <c r="I74" i="83"/>
  <c r="J74" i="83" s="1"/>
  <c r="H74" i="83"/>
  <c r="G74" i="83"/>
  <c r="F74" i="83"/>
  <c r="E74" i="83"/>
  <c r="C74" i="83"/>
  <c r="B74" i="83"/>
  <c r="I73" i="83"/>
  <c r="J73" i="83" s="1"/>
  <c r="H73" i="83"/>
  <c r="G73" i="83"/>
  <c r="F73" i="83"/>
  <c r="E73" i="83"/>
  <c r="C73" i="83"/>
  <c r="B73" i="83"/>
  <c r="I72" i="83"/>
  <c r="J72" i="83" s="1"/>
  <c r="H72" i="83"/>
  <c r="G72" i="83"/>
  <c r="F72" i="83"/>
  <c r="E72" i="83"/>
  <c r="C72" i="83"/>
  <c r="B72" i="83"/>
  <c r="I71" i="83"/>
  <c r="J71" i="83" s="1"/>
  <c r="H71" i="83"/>
  <c r="G71" i="83"/>
  <c r="F71" i="83"/>
  <c r="E71" i="83"/>
  <c r="C71" i="83"/>
  <c r="B71" i="83"/>
  <c r="I70" i="83"/>
  <c r="J70" i="83" s="1"/>
  <c r="H70" i="83"/>
  <c r="G70" i="83"/>
  <c r="F70" i="83"/>
  <c r="E70" i="83"/>
  <c r="C70" i="83"/>
  <c r="B70" i="83"/>
  <c r="I69" i="83"/>
  <c r="J69" i="83" s="1"/>
  <c r="H69" i="83"/>
  <c r="G69" i="83"/>
  <c r="F69" i="83"/>
  <c r="E69" i="83"/>
  <c r="C69" i="83"/>
  <c r="B69" i="83"/>
  <c r="I68" i="83"/>
  <c r="J68" i="83" s="1"/>
  <c r="H68" i="83"/>
  <c r="G68" i="83"/>
  <c r="F68" i="83"/>
  <c r="E68" i="83"/>
  <c r="C68" i="83"/>
  <c r="B68" i="83"/>
  <c r="I67" i="83"/>
  <c r="J67" i="83" s="1"/>
  <c r="H67" i="83"/>
  <c r="G67" i="83"/>
  <c r="F67" i="83"/>
  <c r="E67" i="83"/>
  <c r="C67" i="83"/>
  <c r="B67" i="83"/>
  <c r="I66" i="83"/>
  <c r="J66" i="83" s="1"/>
  <c r="H66" i="83"/>
  <c r="G66" i="83"/>
  <c r="F66" i="83"/>
  <c r="E66" i="83"/>
  <c r="C66" i="83"/>
  <c r="B66" i="83"/>
  <c r="I65" i="83"/>
  <c r="J65" i="83" s="1"/>
  <c r="H65" i="83"/>
  <c r="G65" i="83"/>
  <c r="F65" i="83"/>
  <c r="E65" i="83"/>
  <c r="C65" i="83"/>
  <c r="B65" i="83"/>
  <c r="I64" i="83"/>
  <c r="J64" i="83" s="1"/>
  <c r="H64" i="83"/>
  <c r="G64" i="83"/>
  <c r="F64" i="83"/>
  <c r="E64" i="83"/>
  <c r="C64" i="83"/>
  <c r="B64" i="83"/>
  <c r="I63" i="83"/>
  <c r="J63" i="83" s="1"/>
  <c r="H63" i="83"/>
  <c r="G63" i="83"/>
  <c r="F63" i="83"/>
  <c r="E63" i="83"/>
  <c r="C63" i="83"/>
  <c r="B63" i="83"/>
  <c r="I62" i="83"/>
  <c r="J62" i="83" s="1"/>
  <c r="H62" i="83"/>
  <c r="G62" i="83"/>
  <c r="F62" i="83"/>
  <c r="E62" i="83"/>
  <c r="C62" i="83"/>
  <c r="B62" i="83"/>
  <c r="I61" i="83"/>
  <c r="J61" i="83" s="1"/>
  <c r="H61" i="83"/>
  <c r="G61" i="83"/>
  <c r="F61" i="83"/>
  <c r="E61" i="83"/>
  <c r="C61" i="83"/>
  <c r="B61" i="83"/>
  <c r="I60" i="83"/>
  <c r="J60" i="83" s="1"/>
  <c r="H60" i="83"/>
  <c r="G60" i="83"/>
  <c r="F60" i="83"/>
  <c r="E60" i="83"/>
  <c r="C60" i="83"/>
  <c r="B60" i="83"/>
  <c r="I59" i="83"/>
  <c r="J59" i="83" s="1"/>
  <c r="H59" i="83"/>
  <c r="G59" i="83"/>
  <c r="F59" i="83"/>
  <c r="E59" i="83"/>
  <c r="C59" i="83"/>
  <c r="B59" i="83"/>
  <c r="I58" i="83"/>
  <c r="J58" i="83" s="1"/>
  <c r="H58" i="83"/>
  <c r="G58" i="83"/>
  <c r="F58" i="83"/>
  <c r="E58" i="83"/>
  <c r="C58" i="83"/>
  <c r="B58" i="83"/>
  <c r="I57" i="83"/>
  <c r="J57" i="83" s="1"/>
  <c r="H57" i="83"/>
  <c r="G57" i="83"/>
  <c r="F57" i="83"/>
  <c r="E57" i="83"/>
  <c r="C57" i="83"/>
  <c r="B57" i="83"/>
  <c r="I56" i="83"/>
  <c r="J56" i="83" s="1"/>
  <c r="H56" i="83"/>
  <c r="G56" i="83"/>
  <c r="F56" i="83"/>
  <c r="E56" i="83"/>
  <c r="C56" i="83"/>
  <c r="B56" i="83"/>
  <c r="I55" i="83"/>
  <c r="J55" i="83" s="1"/>
  <c r="H55" i="83"/>
  <c r="G55" i="83"/>
  <c r="F55" i="83"/>
  <c r="E55" i="83"/>
  <c r="C55" i="83"/>
  <c r="B55" i="83"/>
  <c r="I54" i="83"/>
  <c r="J54" i="83" s="1"/>
  <c r="H54" i="83"/>
  <c r="G54" i="83"/>
  <c r="F54" i="83"/>
  <c r="E54" i="83"/>
  <c r="C54" i="83"/>
  <c r="B54" i="83"/>
  <c r="I53" i="83"/>
  <c r="J53" i="83" s="1"/>
  <c r="H53" i="83"/>
  <c r="G53" i="83"/>
  <c r="F53" i="83"/>
  <c r="E53" i="83"/>
  <c r="C53" i="83"/>
  <c r="B53" i="83"/>
  <c r="I52" i="83"/>
  <c r="J52" i="83" s="1"/>
  <c r="H52" i="83"/>
  <c r="G52" i="83"/>
  <c r="F52" i="83"/>
  <c r="E52" i="83"/>
  <c r="C52" i="83"/>
  <c r="B52" i="83"/>
  <c r="I51" i="83"/>
  <c r="J51" i="83" s="1"/>
  <c r="H51" i="83"/>
  <c r="G51" i="83"/>
  <c r="F51" i="83"/>
  <c r="E51" i="83"/>
  <c r="C51" i="83"/>
  <c r="B51" i="83"/>
  <c r="I50" i="83"/>
  <c r="J50" i="83" s="1"/>
  <c r="H50" i="83"/>
  <c r="G50" i="83"/>
  <c r="F50" i="83"/>
  <c r="E50" i="83"/>
  <c r="C50" i="83"/>
  <c r="B50" i="83"/>
  <c r="I49" i="83"/>
  <c r="J49" i="83" s="1"/>
  <c r="H49" i="83"/>
  <c r="G49" i="83"/>
  <c r="F49" i="83"/>
  <c r="E49" i="83"/>
  <c r="C49" i="83"/>
  <c r="B49" i="83"/>
  <c r="I48" i="83"/>
  <c r="J48" i="83" s="1"/>
  <c r="H48" i="83"/>
  <c r="G48" i="83"/>
  <c r="F48" i="83"/>
  <c r="E48" i="83"/>
  <c r="C48" i="83"/>
  <c r="B48" i="83"/>
  <c r="I47" i="83"/>
  <c r="J47" i="83" s="1"/>
  <c r="H47" i="83"/>
  <c r="G47" i="83"/>
  <c r="F47" i="83"/>
  <c r="E47" i="83"/>
  <c r="C47" i="83"/>
  <c r="B47" i="83"/>
  <c r="I46" i="83"/>
  <c r="J46" i="83" s="1"/>
  <c r="H46" i="83"/>
  <c r="G46" i="83"/>
  <c r="F46" i="83"/>
  <c r="E46" i="83"/>
  <c r="C46" i="83"/>
  <c r="B46" i="83"/>
  <c r="I45" i="83"/>
  <c r="J45" i="83" s="1"/>
  <c r="H45" i="83"/>
  <c r="G45" i="83"/>
  <c r="F45" i="83"/>
  <c r="E45" i="83"/>
  <c r="C45" i="83"/>
  <c r="B45" i="83"/>
  <c r="I44" i="83"/>
  <c r="J44" i="83" s="1"/>
  <c r="H44" i="83"/>
  <c r="G44" i="83"/>
  <c r="F44" i="83"/>
  <c r="E44" i="83"/>
  <c r="C44" i="83"/>
  <c r="B44" i="83"/>
  <c r="I43" i="83"/>
  <c r="J43" i="83" s="1"/>
  <c r="H43" i="83"/>
  <c r="G43" i="83"/>
  <c r="F43" i="83"/>
  <c r="E43" i="83"/>
  <c r="C43" i="83"/>
  <c r="B43" i="83"/>
  <c r="I42" i="83"/>
  <c r="J42" i="83" s="1"/>
  <c r="H42" i="83"/>
  <c r="G42" i="83"/>
  <c r="F42" i="83"/>
  <c r="E42" i="83"/>
  <c r="C42" i="83"/>
  <c r="B42" i="83"/>
  <c r="I41" i="83"/>
  <c r="J41" i="83" s="1"/>
  <c r="H41" i="83"/>
  <c r="G41" i="83"/>
  <c r="F41" i="83"/>
  <c r="E41" i="83"/>
  <c r="C41" i="83"/>
  <c r="B41" i="83"/>
  <c r="I40" i="83"/>
  <c r="J40" i="83" s="1"/>
  <c r="H40" i="83"/>
  <c r="G40" i="83"/>
  <c r="F40" i="83"/>
  <c r="E40" i="83"/>
  <c r="C40" i="83"/>
  <c r="B40" i="83"/>
  <c r="I39" i="83"/>
  <c r="J39" i="83" s="1"/>
  <c r="H39" i="83"/>
  <c r="G39" i="83"/>
  <c r="F39" i="83"/>
  <c r="E39" i="83"/>
  <c r="C39" i="83"/>
  <c r="B39" i="83"/>
  <c r="I38" i="83"/>
  <c r="J38" i="83" s="1"/>
  <c r="H38" i="83"/>
  <c r="G38" i="83"/>
  <c r="F38" i="83"/>
  <c r="E38" i="83"/>
  <c r="C38" i="83"/>
  <c r="B38" i="83"/>
  <c r="I37" i="83"/>
  <c r="J37" i="83" s="1"/>
  <c r="H37" i="83"/>
  <c r="G37" i="83"/>
  <c r="F37" i="83"/>
  <c r="E37" i="83"/>
  <c r="C37" i="83"/>
  <c r="B37" i="83"/>
  <c r="I36" i="83"/>
  <c r="J36" i="83" s="1"/>
  <c r="H36" i="83"/>
  <c r="G36" i="83"/>
  <c r="F36" i="83"/>
  <c r="E36" i="83"/>
  <c r="C36" i="83"/>
  <c r="B36" i="83"/>
  <c r="I35" i="83"/>
  <c r="J35" i="83" s="1"/>
  <c r="H35" i="83"/>
  <c r="G35" i="83"/>
  <c r="F35" i="83"/>
  <c r="E35" i="83"/>
  <c r="C35" i="83"/>
  <c r="B35" i="83"/>
  <c r="I34" i="83"/>
  <c r="J34" i="83" s="1"/>
  <c r="H34" i="83"/>
  <c r="G34" i="83"/>
  <c r="F34" i="83"/>
  <c r="E34" i="83"/>
  <c r="C34" i="83"/>
  <c r="B34" i="83"/>
  <c r="I33" i="83"/>
  <c r="J33" i="83" s="1"/>
  <c r="H33" i="83"/>
  <c r="G33" i="83"/>
  <c r="F33" i="83"/>
  <c r="E33" i="83"/>
  <c r="C33" i="83"/>
  <c r="B33" i="83"/>
  <c r="I32" i="83"/>
  <c r="J32" i="83" s="1"/>
  <c r="H32" i="83"/>
  <c r="G32" i="83"/>
  <c r="F32" i="83"/>
  <c r="E32" i="83"/>
  <c r="C32" i="83"/>
  <c r="B32" i="83"/>
  <c r="I31" i="83"/>
  <c r="J31" i="83" s="1"/>
  <c r="H31" i="83"/>
  <c r="G31" i="83"/>
  <c r="F31" i="83"/>
  <c r="E31" i="83"/>
  <c r="C31" i="83"/>
  <c r="B31" i="83"/>
  <c r="I30" i="83"/>
  <c r="J30" i="83" s="1"/>
  <c r="H30" i="83"/>
  <c r="G30" i="83"/>
  <c r="F30" i="83"/>
  <c r="E30" i="83"/>
  <c r="C30" i="83"/>
  <c r="B30" i="83"/>
  <c r="I29" i="83"/>
  <c r="J29" i="83" s="1"/>
  <c r="H29" i="83"/>
  <c r="G29" i="83"/>
  <c r="F29" i="83"/>
  <c r="E29" i="83"/>
  <c r="C29" i="83"/>
  <c r="B29" i="83"/>
  <c r="I28" i="83"/>
  <c r="J28" i="83" s="1"/>
  <c r="H28" i="83"/>
  <c r="G28" i="83"/>
  <c r="F28" i="83"/>
  <c r="E28" i="83"/>
  <c r="C28" i="83"/>
  <c r="B28" i="83"/>
  <c r="I27" i="83"/>
  <c r="J27" i="83" s="1"/>
  <c r="H27" i="83"/>
  <c r="G27" i="83"/>
  <c r="F27" i="83"/>
  <c r="E27" i="83"/>
  <c r="C27" i="83"/>
  <c r="B27" i="83"/>
  <c r="I26" i="83"/>
  <c r="J26" i="83" s="1"/>
  <c r="H26" i="83"/>
  <c r="G26" i="83"/>
  <c r="F26" i="83"/>
  <c r="E26" i="83"/>
  <c r="C26" i="83"/>
  <c r="B26" i="83"/>
  <c r="I25" i="83"/>
  <c r="J25" i="83" s="1"/>
  <c r="H25" i="83"/>
  <c r="G25" i="83"/>
  <c r="F25" i="83"/>
  <c r="E25" i="83"/>
  <c r="C25" i="83"/>
  <c r="B25" i="83"/>
  <c r="I24" i="83"/>
  <c r="J24" i="83" s="1"/>
  <c r="H24" i="83"/>
  <c r="G24" i="83"/>
  <c r="F24" i="83"/>
  <c r="E24" i="83"/>
  <c r="C24" i="83"/>
  <c r="B24" i="83"/>
  <c r="I23" i="83"/>
  <c r="J23" i="83" s="1"/>
  <c r="H23" i="83"/>
  <c r="G23" i="83"/>
  <c r="F23" i="83"/>
  <c r="E23" i="83"/>
  <c r="C23" i="83"/>
  <c r="B23" i="83"/>
  <c r="I22" i="83"/>
  <c r="J22" i="83" s="1"/>
  <c r="H22" i="83"/>
  <c r="G22" i="83"/>
  <c r="F22" i="83"/>
  <c r="E22" i="83"/>
  <c r="C22" i="83"/>
  <c r="B22" i="83"/>
  <c r="I21" i="83"/>
  <c r="J21" i="83" s="1"/>
  <c r="H21" i="83"/>
  <c r="G21" i="83"/>
  <c r="F21" i="83"/>
  <c r="E21" i="83"/>
  <c r="C21" i="83"/>
  <c r="B21" i="83"/>
  <c r="I20" i="83"/>
  <c r="J20" i="83" s="1"/>
  <c r="H20" i="83"/>
  <c r="G20" i="83"/>
  <c r="F20" i="83"/>
  <c r="E20" i="83"/>
  <c r="C20" i="83"/>
  <c r="B20" i="83"/>
  <c r="I19" i="83"/>
  <c r="J19" i="83" s="1"/>
  <c r="H19" i="83"/>
  <c r="G19" i="83"/>
  <c r="F19" i="83"/>
  <c r="E19" i="83"/>
  <c r="C19" i="83"/>
  <c r="B19" i="83"/>
  <c r="I18" i="83"/>
  <c r="J18" i="83" s="1"/>
  <c r="H18" i="83"/>
  <c r="G18" i="83"/>
  <c r="F18" i="83"/>
  <c r="E18" i="83"/>
  <c r="C18" i="83"/>
  <c r="B18" i="83"/>
  <c r="I17" i="83"/>
  <c r="J17" i="83" s="1"/>
  <c r="H17" i="83"/>
  <c r="G17" i="83"/>
  <c r="F17" i="83"/>
  <c r="E17" i="83"/>
  <c r="C17" i="83"/>
  <c r="B17" i="83"/>
  <c r="I16" i="83"/>
  <c r="J16" i="83" s="1"/>
  <c r="H16" i="83"/>
  <c r="G16" i="83"/>
  <c r="F16" i="83"/>
  <c r="E16" i="83"/>
  <c r="C16" i="83"/>
  <c r="B16" i="83"/>
  <c r="I15" i="83"/>
  <c r="J15" i="83" s="1"/>
  <c r="H15" i="83"/>
  <c r="G15" i="83"/>
  <c r="F15" i="83"/>
  <c r="E15" i="83"/>
  <c r="C15" i="83"/>
  <c r="B15" i="83"/>
  <c r="I14" i="83"/>
  <c r="J14" i="83" s="1"/>
  <c r="H14" i="83"/>
  <c r="G14" i="83"/>
  <c r="F14" i="83"/>
  <c r="E14" i="83"/>
  <c r="C14" i="83"/>
  <c r="B14" i="83"/>
  <c r="I13" i="83"/>
  <c r="J13" i="83" s="1"/>
  <c r="H13" i="83"/>
  <c r="G13" i="83"/>
  <c r="F13" i="83"/>
  <c r="E13" i="83"/>
  <c r="C13" i="83"/>
  <c r="B13" i="83"/>
  <c r="I12" i="83"/>
  <c r="J12" i="83" s="1"/>
  <c r="H12" i="83"/>
  <c r="G12" i="83"/>
  <c r="F12" i="83"/>
  <c r="E12" i="83"/>
  <c r="C12" i="83"/>
  <c r="B12" i="83"/>
  <c r="I11" i="83"/>
  <c r="J11" i="83" s="1"/>
  <c r="H11" i="83"/>
  <c r="G11" i="83"/>
  <c r="F11" i="83"/>
  <c r="E11" i="83"/>
  <c r="C11" i="83"/>
  <c r="B11" i="83"/>
  <c r="I10" i="83"/>
  <c r="J10" i="83" s="1"/>
  <c r="H10" i="83"/>
  <c r="G10" i="83"/>
  <c r="F10" i="83"/>
  <c r="E10" i="83"/>
  <c r="C10" i="83"/>
  <c r="B10" i="83"/>
  <c r="I9" i="83"/>
  <c r="J9" i="83" s="1"/>
  <c r="H9" i="83"/>
  <c r="G9" i="83"/>
  <c r="F9" i="83"/>
  <c r="E9" i="83"/>
  <c r="C9" i="83"/>
  <c r="B9" i="83"/>
  <c r="I8" i="83"/>
  <c r="H8" i="83"/>
  <c r="G8" i="83"/>
  <c r="F8" i="83"/>
  <c r="E8" i="83"/>
  <c r="C8" i="83"/>
  <c r="B8" i="83"/>
  <c r="C1" i="83"/>
  <c r="A1" i="83"/>
  <c r="H108" i="83" l="1"/>
  <c r="I108" i="83"/>
  <c r="J8" i="83"/>
  <c r="C1" i="5"/>
  <c r="C109" i="5" l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8" i="5"/>
  <c r="J8" i="5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8" i="5"/>
  <c r="A1" i="5" l="1"/>
  <c r="I108" i="5" l="1"/>
  <c r="H108" i="5"/>
</calcChain>
</file>

<file path=xl/sharedStrings.xml><?xml version="1.0" encoding="utf-8"?>
<sst xmlns="http://schemas.openxmlformats.org/spreadsheetml/2006/main" count="2295" uniqueCount="41">
  <si>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</si>
  <si>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</si>
  <si>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</si>
  <si>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</si>
  <si>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</si>
  <si>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</si>
  <si>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</si>
  <si>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</si>
  <si>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</si>
  <si>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</si>
  <si>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</si>
  <si>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</si>
  <si>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</si>
  <si>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</si>
  <si>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</si>
  <si>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</si>
  <si>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</si>
  <si>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</si>
  <si>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Санкт-Петербург, пр. Обуховской Обороны, д 295</t>
  </si>
  <si>
    <t>Отправитель: ООО "Экспресс-почта"; 8 (812) 6330225</t>
  </si>
  <si>
    <t>Филиал "Фрейт Линк - Санкт-Петербург";</t>
  </si>
  <si>
    <t>Вес, кг</t>
  </si>
  <si>
    <t>Накл PONY</t>
  </si>
  <si>
    <t>№</t>
  </si>
  <si>
    <t>Прим</t>
  </si>
  <si>
    <t>Способ транспортировки: Курьер</t>
  </si>
  <si>
    <t>Договор: 22-7220</t>
  </si>
  <si>
    <t/>
  </si>
  <si>
    <t>Способ транспортировки: Письма</t>
  </si>
  <si>
    <t>Накл. PONY</t>
  </si>
  <si>
    <t>Прим.</t>
  </si>
  <si>
    <t>Вес</t>
  </si>
  <si>
    <t>Экспресс</t>
  </si>
  <si>
    <t>Манифест № 3687от 12.08.2019</t>
  </si>
  <si>
    <t>ЭЛТЕХ КОМПОНЕНТ / Медведева</t>
  </si>
  <si>
    <t>620000, Свердловская область, Екатеринбург город, Циолковского ул., 34</t>
  </si>
  <si>
    <t>24-1843-7439</t>
  </si>
  <si>
    <t>СИБЭЛЕКТРОКОМПЛЕКТ / николаева</t>
  </si>
  <si>
    <t>630073, Новосибирская область, Новосибирск город, Горский микрорайон, 8а</t>
  </si>
  <si>
    <t>24-1843-7450</t>
  </si>
  <si>
    <t>Способ транспортировки: Курьер Груз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</si>
</sst>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800]dddd\,\ mmmm\ dd\,\ yyyy"/>
  </numFmts>
  <fonts count="14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" fillId="0" borderId="0"/>
    <xf numFmtId="0" fontId="2" fillId="0" borderId="0"/>
  </cellStyleXfs>
  <cellXfs count="62">
    <xf numFmtId="0" fontId="0" fillId="0" borderId="0" xfId="0"/>
    <xf numFmtId="0" fontId="3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/>
    <xf numFmtId="0" fontId="8" fillId="0" borderId="0" xfId="0" applyFont="1"/>
    <xf numFmtId="0" fontId="8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right"/>
    </xf>
    <xf numFmtId="1" fontId="7" fillId="0" borderId="7" xfId="0" applyNumberFormat="1" applyFont="1" applyBorder="1" applyAlignment="1">
      <alignment horizontal="right" vertical="center"/>
    </xf>
    <xf numFmtId="1" fontId="7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0" fillId="0" borderId="12" xfId="0" applyNumberFormat="1" applyFont="1" applyBorder="1" applyAlignment="1">
      <alignment horizontal="right" vertical="center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0" fontId="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right" vertical="center" wrapText="1"/>
    </xf>
    <xf numFmtId="49" fontId="0" fillId="0" borderId="0" xfId="0" applyNumberFormat="1" applyAlignment="1">
      <alignment wrapText="1"/>
    </xf>
    <xf numFmtId="0" fontId="2" fillId="0" borderId="0" xfId="0" applyFont="1" applyAlignment="1">
      <alignment horizontal="left" vertical="center"/>
    </xf>
    <xf numFmtId="49" fontId="13" fillId="3" borderId="13" xfId="0" applyNumberFormat="1" applyFont="1" applyFill="1" applyBorder="1"/>
    <xf numFmtId="0" fontId="13" fillId="3" borderId="13" xfId="0" applyFont="1" applyFill="1" applyBorder="1"/>
    <xf numFmtId="0" fontId="13" fillId="3" borderId="14" xfId="0" applyFont="1" applyFill="1" applyBorder="1"/>
    <xf numFmtId="49" fontId="0" fillId="0" borderId="13" xfId="0" applyNumberFormat="1" applyFont="1" applyBorder="1"/>
    <xf numFmtId="0" fontId="0" fillId="0" borderId="13" xfId="0" applyFont="1" applyBorder="1"/>
    <xf numFmtId="0" fontId="0" fillId="0" borderId="14" xfId="0" applyFont="1" applyBorder="1"/>
    <xf numFmtId="49" fontId="0" fillId="4" borderId="13" xfId="0" applyNumberFormat="1" applyFont="1" applyFill="1" applyBorder="1"/>
    <xf numFmtId="0" fontId="0" fillId="4" borderId="13" xfId="0" applyFont="1" applyFill="1" applyBorder="1"/>
    <xf numFmtId="0" fontId="0" fillId="4" borderId="14" xfId="0" applyFont="1" applyFill="1" applyBorder="1"/>
    <xf numFmtId="49" fontId="0" fillId="0" borderId="15" xfId="0" applyNumberFormat="1" applyFont="1" applyBorder="1"/>
    <xf numFmtId="0" fontId="0" fillId="0" borderId="15" xfId="0" applyFont="1" applyBorder="1"/>
    <xf numFmtId="0" fontId="0" fillId="0" borderId="1" xfId="0" applyFont="1" applyBorder="1"/>
    <xf numFmtId="49" fontId="0" fillId="4" borderId="15" xfId="0" applyNumberFormat="1" applyFont="1" applyFill="1" applyBorder="1"/>
    <xf numFmtId="0" fontId="0" fillId="4" borderId="15" xfId="0" applyFont="1" applyFill="1" applyBorder="1"/>
    <xf numFmtId="0" fontId="0" fillId="4" borderId="1" xfId="0" applyFont="1" applyFill="1" applyBorder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Обычный" xfId="0" builtinId="0"/>
    <cellStyle name="Обычный 2" xfId="1" xr:uid="{00000000-0005-0000-0000-000001000000}"/>
    <cellStyle name="Обычный 2 2" xfId="3" xr:uid="{00000000-0005-0000-0000-000002000000}"/>
    <cellStyle name="Обычный 3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P212"/>
  <sheetViews>
    <sheetView zoomScaleNormal="100" workbookViewId="0">
      <selection sqref="A1:J9"/>
    </sheetView>
  </sheetViews>
  <sheetFormatPr defaultRowHeight="12.75" x14ac:dyDescent="0.2"/>
  <cols>
    <col min="1" max="1" width="15.28515625" style="35" customWidth="1"/>
    <col min="2" max="2" width="16.28515625" customWidth="1"/>
    <col min="3" max="3" width="9.140625" style="35"/>
    <col min="5" max="5" width="9.140625" style="35"/>
    <col min="8" max="8" width="9.140625" style="35"/>
    <col min="15" max="16" width="9.140625" style="35"/>
  </cols>
  <sheetData>
    <row r="1" spans="1:16" x14ac:dyDescent="0.2">
      <c r="A1" s="35" t="s">
        <v>33</v>
      </c>
      <c r="B1" s="35"/>
      <c r="C1"/>
      <c r="E1"/>
      <c r="F1" s="35"/>
      <c r="G1" t="s">
        <v>28</v>
      </c>
      <c r="H1"/>
      <c r="O1"/>
      <c r="P1"/>
    </row>
    <row r="2" spans="1:16" x14ac:dyDescent="0.2">
      <c r="A2" s="35" t="s">
        <v>3</v>
      </c>
      <c r="B2" s="35"/>
      <c r="C2" t="s">
        <v>19</v>
      </c>
      <c r="E2"/>
      <c r="F2" s="35"/>
      <c r="G2" t="s">
        <v>19</v>
      </c>
      <c r="H2"/>
      <c r="O2"/>
      <c r="P2"/>
    </row>
    <row r="3" spans="1:16" ht="76.5" x14ac:dyDescent="0.2">
      <c r="A3" s="40"/>
      <c r="B3" s="40"/>
      <c r="C3" s="37" t="s">
        <v>17</v>
      </c>
      <c r="D3" s="37"/>
      <c r="E3" s="37"/>
      <c r="F3" s="40"/>
      <c r="G3" s="37" t="s">
        <v>17</v>
      </c>
      <c r="H3" s="37"/>
      <c r="I3" s="37"/>
      <c r="J3" s="37"/>
      <c r="K3" s="37"/>
      <c r="L3" s="37"/>
      <c r="M3" s="37"/>
      <c r="N3" s="37"/>
      <c r="O3" s="37"/>
      <c r="P3"/>
    </row>
    <row r="4" spans="1:16" x14ac:dyDescent="0.2">
      <c r="A4" s="35" t="s">
        <v>4</v>
      </c>
      <c r="B4" s="35"/>
      <c r="C4" t="s">
        <v>20</v>
      </c>
      <c r="E4"/>
      <c r="F4" s="35"/>
      <c r="G4" t="s">
        <v>26</v>
      </c>
      <c r="H4"/>
      <c r="O4"/>
      <c r="P4"/>
    </row>
    <row r="5" spans="1:16" x14ac:dyDescent="0.2">
      <c r="B5" s="35"/>
      <c r="C5" t="s">
        <v>18</v>
      </c>
      <c r="E5"/>
      <c r="F5" s="35"/>
      <c r="H5"/>
      <c r="O5"/>
      <c r="P5"/>
    </row>
    <row r="6" spans="1:16" x14ac:dyDescent="0.2">
      <c r="A6" s="35" t="s">
        <v>5</v>
      </c>
      <c r="B6" s="35"/>
      <c r="C6"/>
      <c r="E6"/>
      <c r="F6" s="35"/>
      <c r="H6"/>
      <c r="O6"/>
      <c r="P6"/>
    </row>
    <row r="7" spans="1:16" ht="15" x14ac:dyDescent="0.25">
      <c r="A7" s="42" t="s">
        <v>23</v>
      </c>
      <c r="B7" s="42" t="s">
        <v>29</v>
      </c>
      <c r="C7" s="43" t="s">
        <v>15</v>
      </c>
      <c r="D7" s="43" t="s">
        <v>30</v>
      </c>
      <c r="E7" s="43" t="s">
        <v>0</v>
      </c>
      <c r="F7" s="42" t="s">
        <v>10</v>
      </c>
      <c r="G7" s="43" t="s">
        <v>1</v>
      </c>
      <c r="H7" s="43" t="s">
        <v>2</v>
      </c>
      <c r="I7" s="43" t="s">
        <v>31</v>
      </c>
      <c r="J7" s="44" t="s">
        <v>16</v>
      </c>
      <c r="O7"/>
      <c r="P7"/>
    </row>
    <row r="8" spans="1:16" x14ac:dyDescent="0.2">
      <c r="A8" s="45">
        <v>2</v>
      </c>
      <c r="B8" s="45" t="s">
        <v>36</v>
      </c>
      <c r="C8" s="46">
        <v>1962892</v>
      </c>
      <c r="D8" s="46"/>
      <c r="E8" s="46" t="s">
        <v>37</v>
      </c>
      <c r="F8" s="45">
        <v>3832090769</v>
      </c>
      <c r="G8" s="46" t="s">
        <v>38</v>
      </c>
      <c r="H8" s="46">
        <v>1</v>
      </c>
      <c r="I8" s="46">
        <v>8.3000000000000007</v>
      </c>
      <c r="J8" s="47" t="s">
        <v>32</v>
      </c>
      <c r="O8"/>
      <c r="P8"/>
    </row>
    <row r="9" spans="1:16" x14ac:dyDescent="0.2">
      <c r="A9" s="54">
        <v>3</v>
      </c>
      <c r="B9" s="54" t="s">
        <v>39</v>
      </c>
      <c r="C9" s="55">
        <v>1912837</v>
      </c>
      <c r="D9" s="55"/>
      <c r="E9" s="55" t="s">
        <v>34</v>
      </c>
      <c r="F9" s="54">
        <v>3433114228</v>
      </c>
      <c r="G9" s="55" t="s">
        <v>35</v>
      </c>
      <c r="H9" s="55">
        <v>7</v>
      </c>
      <c r="I9" s="55">
        <v>65.099999999999994</v>
      </c>
      <c r="J9" s="56" t="s">
        <v>32</v>
      </c>
      <c r="O9"/>
      <c r="P9"/>
    </row>
    <row r="10" spans="1:16" x14ac:dyDescent="0.2">
      <c r="A10" s="48" t="s">
        <v>27</v>
      </c>
      <c r="B10" s="48" t="s">
        <v>27</v>
      </c>
      <c r="C10" s="49" t="s">
        <v>27</v>
      </c>
      <c r="D10" s="49" t="s">
        <v>27</v>
      </c>
      <c r="E10" s="49" t="s">
        <v>27</v>
      </c>
      <c r="F10" s="48" t="s">
        <v>27</v>
      </c>
      <c r="G10" s="49" t="s">
        <v>27</v>
      </c>
      <c r="H10" s="49" t="s">
        <v>27</v>
      </c>
      <c r="I10" s="49" t="s">
        <v>27</v>
      </c>
      <c r="J10" s="50" t="s">
        <v>27</v>
      </c>
      <c r="O10"/>
      <c r="P10"/>
    </row>
    <row r="11" spans="1:16" x14ac:dyDescent="0.2">
      <c r="A11" s="51" t="s">
        <v>27</v>
      </c>
      <c r="B11" s="51" t="s">
        <v>27</v>
      </c>
      <c r="C11" s="52" t="s">
        <v>27</v>
      </c>
      <c r="D11" s="52" t="s">
        <v>27</v>
      </c>
      <c r="E11" s="52" t="s">
        <v>27</v>
      </c>
      <c r="F11" s="51" t="s">
        <v>27</v>
      </c>
      <c r="G11" s="52" t="s">
        <v>27</v>
      </c>
      <c r="H11" s="52" t="s">
        <v>27</v>
      </c>
      <c r="I11" s="52" t="s">
        <v>27</v>
      </c>
      <c r="J11" s="53" t="s">
        <v>27</v>
      </c>
      <c r="K11" t="s">
        <v>27</v>
      </c>
      <c r="L11" t="s">
        <v>27</v>
      </c>
      <c r="M11" t="s">
        <v>27</v>
      </c>
      <c r="N11" t="s">
        <v>27</v>
      </c>
      <c r="O11" t="s">
        <v>27</v>
      </c>
    </row>
    <row r="12" spans="1:16" x14ac:dyDescent="0.2">
      <c r="A12" s="48" t="s">
        <v>27</v>
      </c>
      <c r="B12" s="48" t="s">
        <v>27</v>
      </c>
      <c r="C12" s="48" t="s">
        <v>27</v>
      </c>
      <c r="D12" s="49" t="s">
        <v>27</v>
      </c>
      <c r="E12" s="49" t="s">
        <v>27</v>
      </c>
      <c r="F12" s="48" t="s">
        <v>27</v>
      </c>
      <c r="G12" s="49" t="s">
        <v>27</v>
      </c>
      <c r="H12" s="49" t="s">
        <v>27</v>
      </c>
      <c r="I12" s="49" t="s">
        <v>27</v>
      </c>
      <c r="J12" s="50" t="s">
        <v>27</v>
      </c>
      <c r="K12" t="s">
        <v>27</v>
      </c>
      <c r="L12" t="s">
        <v>27</v>
      </c>
      <c r="M12" t="s">
        <v>27</v>
      </c>
      <c r="N12" t="s">
        <v>27</v>
      </c>
      <c r="O12" t="s">
        <v>27</v>
      </c>
    </row>
    <row r="13" spans="1:16" x14ac:dyDescent="0.2">
      <c r="A13" s="45" t="s">
        <v>27</v>
      </c>
      <c r="B13" s="45" t="s">
        <v>27</v>
      </c>
      <c r="C13" s="45" t="s">
        <v>27</v>
      </c>
      <c r="D13" s="46" t="s">
        <v>27</v>
      </c>
      <c r="E13" s="46" t="s">
        <v>27</v>
      </c>
      <c r="F13" s="45" t="s">
        <v>27</v>
      </c>
      <c r="G13" s="46" t="s">
        <v>27</v>
      </c>
      <c r="H13" s="46" t="s">
        <v>27</v>
      </c>
      <c r="I13" s="46" t="s">
        <v>27</v>
      </c>
      <c r="J13" s="47" t="s">
        <v>27</v>
      </c>
      <c r="K13" t="s">
        <v>27</v>
      </c>
      <c r="L13" t="s">
        <v>27</v>
      </c>
      <c r="M13" t="s">
        <v>27</v>
      </c>
      <c r="N13" t="s">
        <v>27</v>
      </c>
      <c r="O13" s="35" t="s">
        <v>27</v>
      </c>
    </row>
    <row r="14" spans="1:16" x14ac:dyDescent="0.2">
      <c r="A14" s="48" t="s">
        <v>27</v>
      </c>
      <c r="B14" s="48" t="s">
        <v>27</v>
      </c>
      <c r="C14" s="48" t="s">
        <v>27</v>
      </c>
      <c r="D14" s="49" t="s">
        <v>27</v>
      </c>
      <c r="E14" s="49" t="s">
        <v>27</v>
      </c>
      <c r="F14" s="48" t="s">
        <v>27</v>
      </c>
      <c r="G14" s="49" t="s">
        <v>27</v>
      </c>
      <c r="H14" s="49" t="s">
        <v>27</v>
      </c>
      <c r="I14" s="49" t="s">
        <v>27</v>
      </c>
      <c r="J14" s="50" t="s">
        <v>27</v>
      </c>
      <c r="K14" t="s">
        <v>27</v>
      </c>
      <c r="L14" t="s">
        <v>27</v>
      </c>
      <c r="M14" t="s">
        <v>27</v>
      </c>
      <c r="N14" t="s">
        <v>27</v>
      </c>
      <c r="O14" s="35" t="s">
        <v>27</v>
      </c>
    </row>
    <row r="15" spans="1:16" x14ac:dyDescent="0.2">
      <c r="A15" s="45" t="s">
        <v>27</v>
      </c>
      <c r="B15" s="45" t="s">
        <v>27</v>
      </c>
      <c r="C15" s="45" t="s">
        <v>27</v>
      </c>
      <c r="D15" s="46" t="s">
        <v>27</v>
      </c>
      <c r="E15" s="46" t="s">
        <v>27</v>
      </c>
      <c r="F15" s="45" t="s">
        <v>27</v>
      </c>
      <c r="G15" s="46" t="s">
        <v>27</v>
      </c>
      <c r="H15" s="46" t="s">
        <v>27</v>
      </c>
      <c r="I15" s="46" t="s">
        <v>27</v>
      </c>
      <c r="J15" s="47" t="s">
        <v>27</v>
      </c>
      <c r="K15" t="s">
        <v>27</v>
      </c>
      <c r="L15" t="s">
        <v>27</v>
      </c>
      <c r="M15" t="s">
        <v>27</v>
      </c>
      <c r="N15" t="s">
        <v>27</v>
      </c>
      <c r="O15" s="35" t="s">
        <v>27</v>
      </c>
    </row>
    <row r="16" spans="1:16" x14ac:dyDescent="0.2">
      <c r="A16" s="35" t="s">
        <v>27</v>
      </c>
      <c r="B16" s="35" t="s">
        <v>27</v>
      </c>
      <c r="C16" t="s">
        <v>27</v>
      </c>
      <c r="D16" t="s">
        <v>27</v>
      </c>
      <c r="E16" t="s">
        <v>27</v>
      </c>
      <c r="F16" s="35" t="s">
        <v>27</v>
      </c>
      <c r="G16" t="s">
        <v>27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  <c r="M16" t="s">
        <v>27</v>
      </c>
      <c r="N16" t="s">
        <v>27</v>
      </c>
      <c r="O16" s="35" t="s">
        <v>27</v>
      </c>
    </row>
    <row r="17" spans="1:15" x14ac:dyDescent="0.2">
      <c r="A17" s="35" t="s">
        <v>27</v>
      </c>
      <c r="B17" s="35" t="s">
        <v>27</v>
      </c>
      <c r="C17" t="s">
        <v>27</v>
      </c>
      <c r="D17" t="s">
        <v>27</v>
      </c>
      <c r="E17" t="s">
        <v>27</v>
      </c>
      <c r="F17" s="35" t="s">
        <v>27</v>
      </c>
      <c r="G17" t="s">
        <v>27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  <c r="M17" t="s">
        <v>27</v>
      </c>
      <c r="N17" t="s">
        <v>27</v>
      </c>
      <c r="O17" s="35" t="s">
        <v>27</v>
      </c>
    </row>
    <row r="18" spans="1:15" x14ac:dyDescent="0.2">
      <c r="A18" s="35" t="s">
        <v>27</v>
      </c>
      <c r="B18" s="35" t="s">
        <v>27</v>
      </c>
      <c r="C18" t="s">
        <v>27</v>
      </c>
      <c r="D18" t="s">
        <v>27</v>
      </c>
      <c r="E18" t="s">
        <v>27</v>
      </c>
      <c r="F18" s="35" t="s">
        <v>27</v>
      </c>
      <c r="G18" t="s">
        <v>27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  <c r="M18" t="s">
        <v>27</v>
      </c>
      <c r="N18" t="s">
        <v>27</v>
      </c>
      <c r="O18" s="35" t="s">
        <v>27</v>
      </c>
    </row>
    <row r="19" spans="1:15" x14ac:dyDescent="0.2">
      <c r="A19" s="35" t="s">
        <v>27</v>
      </c>
      <c r="B19" s="35" t="s">
        <v>27</v>
      </c>
      <c r="C19" t="s">
        <v>27</v>
      </c>
      <c r="D19" t="s">
        <v>27</v>
      </c>
      <c r="E19" t="s">
        <v>27</v>
      </c>
      <c r="F19" s="35" t="s">
        <v>27</v>
      </c>
      <c r="G19" t="s">
        <v>27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  <c r="M19" t="s">
        <v>27</v>
      </c>
      <c r="N19" t="s">
        <v>27</v>
      </c>
      <c r="O19" s="35" t="s">
        <v>27</v>
      </c>
    </row>
    <row r="20" spans="1:15" x14ac:dyDescent="0.2">
      <c r="A20" s="35" t="s">
        <v>27</v>
      </c>
      <c r="B20" s="35" t="s">
        <v>27</v>
      </c>
      <c r="C20" t="s">
        <v>27</v>
      </c>
      <c r="D20" t="s">
        <v>27</v>
      </c>
      <c r="E20" t="s">
        <v>27</v>
      </c>
      <c r="F20" s="35" t="s">
        <v>27</v>
      </c>
      <c r="G20" t="s">
        <v>27</v>
      </c>
      <c r="H20" t="s">
        <v>27</v>
      </c>
      <c r="I20" t="s">
        <v>27</v>
      </c>
      <c r="J20" t="s">
        <v>27</v>
      </c>
      <c r="K20" t="s">
        <v>27</v>
      </c>
      <c r="L20" t="s">
        <v>27</v>
      </c>
      <c r="M20" t="s">
        <v>27</v>
      </c>
      <c r="N20" t="s">
        <v>27</v>
      </c>
      <c r="O20" s="35" t="s">
        <v>27</v>
      </c>
    </row>
    <row r="21" spans="1:15" x14ac:dyDescent="0.2">
      <c r="A21" s="35" t="s">
        <v>27</v>
      </c>
      <c r="B21" s="35" t="s">
        <v>27</v>
      </c>
      <c r="C21" t="s">
        <v>27</v>
      </c>
      <c r="D21" t="s">
        <v>27</v>
      </c>
      <c r="E21" t="s">
        <v>27</v>
      </c>
      <c r="F21" s="35" t="s">
        <v>27</v>
      </c>
      <c r="G21" t="s">
        <v>27</v>
      </c>
      <c r="H21" t="s">
        <v>27</v>
      </c>
      <c r="I21" t="s">
        <v>27</v>
      </c>
      <c r="J21" t="s">
        <v>27</v>
      </c>
      <c r="K21" t="s">
        <v>27</v>
      </c>
      <c r="L21" t="s">
        <v>27</v>
      </c>
      <c r="M21" t="s">
        <v>27</v>
      </c>
      <c r="N21" t="s">
        <v>27</v>
      </c>
      <c r="O21" s="35" t="s">
        <v>27</v>
      </c>
    </row>
    <row r="22" spans="1:15" x14ac:dyDescent="0.2">
      <c r="A22" s="35" t="s">
        <v>27</v>
      </c>
      <c r="B22" s="35" t="s">
        <v>27</v>
      </c>
      <c r="C22" t="s">
        <v>27</v>
      </c>
      <c r="D22" t="s">
        <v>27</v>
      </c>
      <c r="E22" t="s">
        <v>27</v>
      </c>
      <c r="F22" s="35" t="s">
        <v>27</v>
      </c>
      <c r="G22" t="s">
        <v>27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  <c r="M22" t="s">
        <v>27</v>
      </c>
      <c r="N22" t="s">
        <v>27</v>
      </c>
      <c r="O22" s="35" t="s">
        <v>27</v>
      </c>
    </row>
    <row r="23" spans="1:15" x14ac:dyDescent="0.2">
      <c r="A23" s="35" t="s">
        <v>27</v>
      </c>
      <c r="B23" s="35" t="s">
        <v>27</v>
      </c>
      <c r="C23" t="s">
        <v>27</v>
      </c>
      <c r="D23" t="s">
        <v>27</v>
      </c>
      <c r="E23" t="s">
        <v>27</v>
      </c>
      <c r="F23" s="35" t="s">
        <v>27</v>
      </c>
      <c r="G23" t="s">
        <v>27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 t="s">
        <v>27</v>
      </c>
      <c r="N23" t="s">
        <v>27</v>
      </c>
      <c r="O23" s="35" t="s">
        <v>27</v>
      </c>
    </row>
    <row r="24" spans="1:15" x14ac:dyDescent="0.2">
      <c r="A24" s="35" t="s">
        <v>27</v>
      </c>
      <c r="B24" s="35" t="s">
        <v>27</v>
      </c>
      <c r="C24" t="s">
        <v>27</v>
      </c>
      <c r="D24" t="s">
        <v>27</v>
      </c>
      <c r="E24" t="s">
        <v>27</v>
      </c>
      <c r="F24" s="35" t="s">
        <v>27</v>
      </c>
      <c r="G24" t="s">
        <v>27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 t="s">
        <v>27</v>
      </c>
      <c r="N24" t="s">
        <v>27</v>
      </c>
      <c r="O24" s="35" t="s">
        <v>27</v>
      </c>
    </row>
    <row r="25" spans="1:15" x14ac:dyDescent="0.2">
      <c r="A25" s="35" t="s">
        <v>27</v>
      </c>
      <c r="B25" s="35" t="s">
        <v>27</v>
      </c>
      <c r="C25" t="s">
        <v>27</v>
      </c>
      <c r="D25" t="s">
        <v>27</v>
      </c>
      <c r="E25" t="s">
        <v>27</v>
      </c>
      <c r="F25" s="35" t="s">
        <v>27</v>
      </c>
      <c r="G25" t="s">
        <v>27</v>
      </c>
      <c r="H25" t="s">
        <v>27</v>
      </c>
      <c r="I25" t="s">
        <v>27</v>
      </c>
      <c r="J25" t="s">
        <v>27</v>
      </c>
      <c r="K25" t="s">
        <v>27</v>
      </c>
      <c r="L25" t="s">
        <v>27</v>
      </c>
      <c r="M25" t="s">
        <v>27</v>
      </c>
      <c r="N25" t="s">
        <v>27</v>
      </c>
      <c r="O25" s="35" t="s">
        <v>27</v>
      </c>
    </row>
    <row r="26" spans="1:15" x14ac:dyDescent="0.2">
      <c r="A26" s="35" t="s">
        <v>27</v>
      </c>
      <c r="B26" s="35" t="s">
        <v>27</v>
      </c>
      <c r="C26" t="s">
        <v>27</v>
      </c>
      <c r="D26" t="s">
        <v>27</v>
      </c>
      <c r="E26" t="s">
        <v>27</v>
      </c>
      <c r="F26" s="35" t="s">
        <v>27</v>
      </c>
      <c r="G26" t="s">
        <v>27</v>
      </c>
      <c r="H26" t="s">
        <v>27</v>
      </c>
      <c r="I26" t="s">
        <v>27</v>
      </c>
      <c r="J26" t="s">
        <v>27</v>
      </c>
      <c r="K26" t="s">
        <v>27</v>
      </c>
      <c r="L26" t="s">
        <v>27</v>
      </c>
      <c r="M26" t="s">
        <v>27</v>
      </c>
      <c r="N26" t="s">
        <v>27</v>
      </c>
      <c r="O26" s="35" t="s">
        <v>27</v>
      </c>
    </row>
    <row r="27" spans="1:15" x14ac:dyDescent="0.2">
      <c r="A27" s="35" t="s">
        <v>27</v>
      </c>
      <c r="B27" s="35" t="s">
        <v>27</v>
      </c>
      <c r="C27" t="s">
        <v>27</v>
      </c>
      <c r="D27" t="s">
        <v>27</v>
      </c>
      <c r="E27" t="s">
        <v>27</v>
      </c>
      <c r="F27" s="35" t="s">
        <v>27</v>
      </c>
      <c r="G27" t="s">
        <v>27</v>
      </c>
      <c r="H27" t="s">
        <v>27</v>
      </c>
      <c r="I27" t="s">
        <v>27</v>
      </c>
      <c r="J27" t="s">
        <v>27</v>
      </c>
      <c r="K27" t="s">
        <v>27</v>
      </c>
      <c r="L27" t="s">
        <v>27</v>
      </c>
      <c r="M27" t="s">
        <v>27</v>
      </c>
      <c r="N27" t="s">
        <v>27</v>
      </c>
      <c r="O27" s="35" t="s">
        <v>27</v>
      </c>
    </row>
    <row r="28" spans="1:15" x14ac:dyDescent="0.2">
      <c r="A28" s="35" t="s">
        <v>27</v>
      </c>
      <c r="B28" s="35" t="s">
        <v>27</v>
      </c>
      <c r="C28" t="s">
        <v>27</v>
      </c>
      <c r="D28" t="s">
        <v>27</v>
      </c>
      <c r="E28" t="s">
        <v>27</v>
      </c>
      <c r="F28" s="35" t="s">
        <v>27</v>
      </c>
      <c r="G28" t="s">
        <v>27</v>
      </c>
      <c r="H28" t="s">
        <v>27</v>
      </c>
      <c r="I28" t="s">
        <v>27</v>
      </c>
      <c r="J28" t="s">
        <v>27</v>
      </c>
      <c r="K28" t="s">
        <v>27</v>
      </c>
      <c r="L28" t="s">
        <v>27</v>
      </c>
      <c r="M28" t="s">
        <v>27</v>
      </c>
      <c r="N28" t="s">
        <v>27</v>
      </c>
      <c r="O28" s="35" t="s">
        <v>27</v>
      </c>
    </row>
    <row r="29" spans="1:15" x14ac:dyDescent="0.2">
      <c r="A29" s="35" t="s">
        <v>27</v>
      </c>
      <c r="B29" s="35" t="s">
        <v>27</v>
      </c>
      <c r="C29" t="s">
        <v>27</v>
      </c>
      <c r="D29" t="s">
        <v>27</v>
      </c>
      <c r="E29" t="s">
        <v>27</v>
      </c>
      <c r="F29" s="35" t="s">
        <v>27</v>
      </c>
      <c r="G29" t="s">
        <v>27</v>
      </c>
      <c r="H29" t="s">
        <v>27</v>
      </c>
      <c r="I29" t="s">
        <v>27</v>
      </c>
      <c r="J29" t="s">
        <v>27</v>
      </c>
      <c r="K29" t="s">
        <v>27</v>
      </c>
      <c r="L29" t="s">
        <v>27</v>
      </c>
      <c r="M29" t="s">
        <v>27</v>
      </c>
      <c r="N29" t="s">
        <v>27</v>
      </c>
      <c r="O29" s="35" t="s">
        <v>27</v>
      </c>
    </row>
    <row r="30" spans="1:15" x14ac:dyDescent="0.2">
      <c r="A30" s="35" t="s">
        <v>27</v>
      </c>
      <c r="B30" s="35" t="s">
        <v>27</v>
      </c>
      <c r="C30" t="s">
        <v>27</v>
      </c>
      <c r="D30" t="s">
        <v>27</v>
      </c>
      <c r="E30" t="s">
        <v>27</v>
      </c>
      <c r="F30" s="35" t="s">
        <v>27</v>
      </c>
      <c r="G30" t="s">
        <v>27</v>
      </c>
      <c r="H30" t="s">
        <v>27</v>
      </c>
      <c r="I30" t="s">
        <v>27</v>
      </c>
      <c r="J30" t="s">
        <v>27</v>
      </c>
      <c r="K30" t="s">
        <v>27</v>
      </c>
      <c r="L30" t="s">
        <v>27</v>
      </c>
      <c r="M30" t="s">
        <v>27</v>
      </c>
      <c r="N30" t="s">
        <v>27</v>
      </c>
      <c r="O30" s="35" t="s">
        <v>27</v>
      </c>
    </row>
    <row r="31" spans="1:15" x14ac:dyDescent="0.2">
      <c r="A31" s="35" t="s">
        <v>27</v>
      </c>
      <c r="B31" s="35" t="s">
        <v>27</v>
      </c>
      <c r="C31" t="s">
        <v>27</v>
      </c>
      <c r="D31" t="s">
        <v>27</v>
      </c>
      <c r="E31" t="s">
        <v>27</v>
      </c>
      <c r="F31" s="35" t="s">
        <v>27</v>
      </c>
      <c r="G31" t="s">
        <v>27</v>
      </c>
      <c r="H31" t="s">
        <v>27</v>
      </c>
      <c r="I31" t="s">
        <v>27</v>
      </c>
      <c r="J31" t="s">
        <v>27</v>
      </c>
      <c r="K31" t="s">
        <v>27</v>
      </c>
      <c r="L31" t="s">
        <v>27</v>
      </c>
      <c r="M31" t="s">
        <v>27</v>
      </c>
      <c r="N31" t="s">
        <v>27</v>
      </c>
      <c r="O31" s="35" t="s">
        <v>27</v>
      </c>
    </row>
    <row r="32" spans="1:15" x14ac:dyDescent="0.2">
      <c r="A32" s="35" t="s">
        <v>27</v>
      </c>
      <c r="B32" s="35" t="s">
        <v>27</v>
      </c>
      <c r="C32" t="s">
        <v>27</v>
      </c>
      <c r="D32" t="s">
        <v>27</v>
      </c>
      <c r="E32" t="s">
        <v>27</v>
      </c>
      <c r="F32" s="35" t="s">
        <v>27</v>
      </c>
      <c r="G32" t="s">
        <v>27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  <c r="M32" t="s">
        <v>27</v>
      </c>
      <c r="N32" t="s">
        <v>27</v>
      </c>
      <c r="O32" s="35" t="s">
        <v>27</v>
      </c>
    </row>
    <row r="33" spans="1:15" x14ac:dyDescent="0.2">
      <c r="A33" s="35" t="s">
        <v>27</v>
      </c>
      <c r="B33" s="35" t="s">
        <v>27</v>
      </c>
      <c r="C33" t="s">
        <v>27</v>
      </c>
      <c r="D33" t="s">
        <v>27</v>
      </c>
      <c r="E33" t="s">
        <v>27</v>
      </c>
      <c r="F33" s="35" t="s">
        <v>27</v>
      </c>
      <c r="G33" t="s">
        <v>27</v>
      </c>
      <c r="H33" t="s">
        <v>27</v>
      </c>
      <c r="I33" t="s">
        <v>27</v>
      </c>
      <c r="J33" t="s">
        <v>27</v>
      </c>
      <c r="K33" t="s">
        <v>27</v>
      </c>
      <c r="L33" t="s">
        <v>27</v>
      </c>
      <c r="M33" t="s">
        <v>27</v>
      </c>
      <c r="N33" t="s">
        <v>27</v>
      </c>
      <c r="O33" s="35" t="s">
        <v>27</v>
      </c>
    </row>
    <row r="34" spans="1:15" x14ac:dyDescent="0.2">
      <c r="A34" s="35" t="s">
        <v>27</v>
      </c>
      <c r="B34" s="35" t="s">
        <v>27</v>
      </c>
      <c r="C34" t="s">
        <v>27</v>
      </c>
      <c r="D34" t="s">
        <v>27</v>
      </c>
      <c r="E34" t="s">
        <v>27</v>
      </c>
      <c r="F34" s="35" t="s">
        <v>27</v>
      </c>
      <c r="G34" t="s">
        <v>27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  <c r="M34" t="s">
        <v>27</v>
      </c>
      <c r="N34" t="s">
        <v>27</v>
      </c>
      <c r="O34" s="35" t="s">
        <v>27</v>
      </c>
    </row>
    <row r="35" spans="1:15" x14ac:dyDescent="0.2">
      <c r="A35" s="35" t="s">
        <v>27</v>
      </c>
      <c r="B35" s="35" t="s">
        <v>27</v>
      </c>
      <c r="C35" t="s">
        <v>27</v>
      </c>
      <c r="D35" t="s">
        <v>27</v>
      </c>
      <c r="E35" t="s">
        <v>27</v>
      </c>
      <c r="F35" s="35" t="s">
        <v>27</v>
      </c>
      <c r="G35" t="s">
        <v>27</v>
      </c>
      <c r="H35" t="s">
        <v>27</v>
      </c>
      <c r="I35" t="s">
        <v>27</v>
      </c>
      <c r="J35" t="s">
        <v>27</v>
      </c>
      <c r="K35" t="s">
        <v>27</v>
      </c>
      <c r="L35" t="s">
        <v>27</v>
      </c>
      <c r="M35" t="s">
        <v>27</v>
      </c>
      <c r="N35" t="s">
        <v>27</v>
      </c>
      <c r="O35" s="35" t="s">
        <v>27</v>
      </c>
    </row>
    <row r="36" spans="1:15" x14ac:dyDescent="0.2">
      <c r="A36" s="35" t="s">
        <v>27</v>
      </c>
      <c r="B36" s="35" t="s">
        <v>27</v>
      </c>
      <c r="C36" t="s">
        <v>27</v>
      </c>
      <c r="D36" t="s">
        <v>27</v>
      </c>
      <c r="E36" t="s">
        <v>27</v>
      </c>
      <c r="F36" s="35" t="s">
        <v>27</v>
      </c>
      <c r="G36" t="s">
        <v>27</v>
      </c>
      <c r="H36" t="s">
        <v>27</v>
      </c>
      <c r="I36" t="s">
        <v>27</v>
      </c>
      <c r="J36" t="s">
        <v>27</v>
      </c>
      <c r="K36" t="s">
        <v>27</v>
      </c>
      <c r="L36" t="s">
        <v>27</v>
      </c>
      <c r="M36" t="s">
        <v>27</v>
      </c>
      <c r="N36" t="s">
        <v>27</v>
      </c>
      <c r="O36" s="35" t="s">
        <v>27</v>
      </c>
    </row>
    <row r="37" spans="1:15" x14ac:dyDescent="0.2">
      <c r="A37" s="35" t="s">
        <v>27</v>
      </c>
      <c r="B37" s="35" t="s">
        <v>27</v>
      </c>
      <c r="C37" t="s">
        <v>27</v>
      </c>
      <c r="D37" t="s">
        <v>27</v>
      </c>
      <c r="E37" t="s">
        <v>27</v>
      </c>
      <c r="F37" s="35" t="s">
        <v>27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  <c r="M37" t="s">
        <v>27</v>
      </c>
      <c r="N37" t="s">
        <v>27</v>
      </c>
      <c r="O37" s="35" t="s">
        <v>27</v>
      </c>
    </row>
    <row r="38" spans="1:15" x14ac:dyDescent="0.2">
      <c r="A38" s="35" t="s">
        <v>27</v>
      </c>
      <c r="B38" s="35" t="s">
        <v>27</v>
      </c>
      <c r="C38" t="s">
        <v>27</v>
      </c>
      <c r="D38" t="s">
        <v>27</v>
      </c>
      <c r="E38" t="s">
        <v>27</v>
      </c>
      <c r="F38" s="35" t="s">
        <v>27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 t="s">
        <v>27</v>
      </c>
      <c r="N38" t="s">
        <v>27</v>
      </c>
      <c r="O38" s="35" t="s">
        <v>27</v>
      </c>
    </row>
    <row r="39" spans="1:15" x14ac:dyDescent="0.2">
      <c r="A39" s="35" t="s">
        <v>27</v>
      </c>
      <c r="B39" s="35" t="s">
        <v>27</v>
      </c>
      <c r="C39" t="s">
        <v>27</v>
      </c>
      <c r="D39" t="s">
        <v>27</v>
      </c>
      <c r="E39" t="s">
        <v>27</v>
      </c>
      <c r="F39" s="35" t="s">
        <v>27</v>
      </c>
      <c r="G39" t="s">
        <v>27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 t="s">
        <v>27</v>
      </c>
      <c r="N39" t="s">
        <v>27</v>
      </c>
      <c r="O39" s="35" t="s">
        <v>27</v>
      </c>
    </row>
    <row r="40" spans="1:15" x14ac:dyDescent="0.2">
      <c r="A40" s="35" t="s">
        <v>27</v>
      </c>
      <c r="B40" s="35" t="s">
        <v>27</v>
      </c>
      <c r="C40" t="s">
        <v>27</v>
      </c>
      <c r="D40" t="s">
        <v>27</v>
      </c>
      <c r="E40" t="s">
        <v>27</v>
      </c>
      <c r="F40" s="35" t="s">
        <v>27</v>
      </c>
      <c r="G40" t="s">
        <v>27</v>
      </c>
      <c r="H40" t="s">
        <v>27</v>
      </c>
      <c r="I40" t="s">
        <v>27</v>
      </c>
      <c r="J40" t="s">
        <v>27</v>
      </c>
    </row>
    <row r="41" spans="1:15" x14ac:dyDescent="0.2">
      <c r="A41" s="35" t="s">
        <v>27</v>
      </c>
      <c r="B41" s="35" t="s">
        <v>27</v>
      </c>
      <c r="C41" t="s">
        <v>27</v>
      </c>
      <c r="D41" t="s">
        <v>27</v>
      </c>
      <c r="E41" t="s">
        <v>27</v>
      </c>
      <c r="F41" s="35" t="s">
        <v>27</v>
      </c>
      <c r="G41" t="s">
        <v>27</v>
      </c>
      <c r="H41" t="s">
        <v>27</v>
      </c>
      <c r="I41" t="s">
        <v>27</v>
      </c>
      <c r="J41" t="s">
        <v>27</v>
      </c>
    </row>
    <row r="42" spans="1:15" x14ac:dyDescent="0.2">
      <c r="A42" s="35" t="s">
        <v>27</v>
      </c>
      <c r="B42" s="35" t="s">
        <v>27</v>
      </c>
      <c r="C42" t="s">
        <v>27</v>
      </c>
      <c r="D42" t="s">
        <v>27</v>
      </c>
      <c r="E42" t="s">
        <v>27</v>
      </c>
      <c r="F42" s="35" t="s">
        <v>27</v>
      </c>
      <c r="G42" t="s">
        <v>27</v>
      </c>
      <c r="H42" t="s">
        <v>27</v>
      </c>
      <c r="I42" t="s">
        <v>27</v>
      </c>
      <c r="J42" t="s">
        <v>27</v>
      </c>
    </row>
    <row r="43" spans="1:15" x14ac:dyDescent="0.2">
      <c r="A43" s="35" t="s">
        <v>27</v>
      </c>
      <c r="B43" s="35" t="s">
        <v>27</v>
      </c>
      <c r="C43" t="s">
        <v>27</v>
      </c>
      <c r="D43" t="s">
        <v>27</v>
      </c>
      <c r="E43" t="s">
        <v>27</v>
      </c>
      <c r="F43" s="35" t="s">
        <v>27</v>
      </c>
      <c r="G43" t="s">
        <v>27</v>
      </c>
      <c r="H43" t="s">
        <v>27</v>
      </c>
      <c r="I43" t="s">
        <v>27</v>
      </c>
      <c r="J43" t="s">
        <v>27</v>
      </c>
    </row>
    <row r="44" spans="1:15" x14ac:dyDescent="0.2">
      <c r="A44" s="35" t="s">
        <v>27</v>
      </c>
      <c r="B44" s="35" t="s">
        <v>27</v>
      </c>
      <c r="C44" t="s">
        <v>27</v>
      </c>
      <c r="D44" t="s">
        <v>27</v>
      </c>
      <c r="E44" t="s">
        <v>27</v>
      </c>
      <c r="F44" s="35" t="s">
        <v>27</v>
      </c>
      <c r="G44" t="s">
        <v>27</v>
      </c>
      <c r="H44" t="s">
        <v>27</v>
      </c>
      <c r="I44" t="s">
        <v>27</v>
      </c>
      <c r="J44" t="s">
        <v>27</v>
      </c>
    </row>
    <row r="45" spans="1:15" x14ac:dyDescent="0.2">
      <c r="A45" s="35" t="s">
        <v>27</v>
      </c>
      <c r="B45" s="35" t="s">
        <v>27</v>
      </c>
      <c r="C45" t="s">
        <v>27</v>
      </c>
      <c r="D45" t="s">
        <v>27</v>
      </c>
      <c r="E45" t="s">
        <v>27</v>
      </c>
      <c r="F45" s="35" t="s">
        <v>27</v>
      </c>
      <c r="G45" t="s">
        <v>27</v>
      </c>
      <c r="H45" t="s">
        <v>27</v>
      </c>
      <c r="I45" t="s">
        <v>27</v>
      </c>
      <c r="J45" t="s">
        <v>27</v>
      </c>
    </row>
    <row r="46" spans="1:15" x14ac:dyDescent="0.2">
      <c r="A46" s="35" t="s">
        <v>27</v>
      </c>
      <c r="B46" s="35" t="s">
        <v>27</v>
      </c>
      <c r="C46" t="s">
        <v>27</v>
      </c>
      <c r="D46" t="s">
        <v>27</v>
      </c>
      <c r="E46" t="s">
        <v>27</v>
      </c>
      <c r="F46" s="35" t="s">
        <v>27</v>
      </c>
      <c r="G46" t="s">
        <v>27</v>
      </c>
      <c r="H46" t="s">
        <v>27</v>
      </c>
      <c r="I46" t="s">
        <v>27</v>
      </c>
      <c r="J46" t="s">
        <v>27</v>
      </c>
    </row>
    <row r="47" spans="1:15" x14ac:dyDescent="0.2">
      <c r="A47" s="35" t="s">
        <v>27</v>
      </c>
      <c r="B47" s="35" t="s">
        <v>27</v>
      </c>
      <c r="C47" t="s">
        <v>27</v>
      </c>
      <c r="D47" t="s">
        <v>27</v>
      </c>
      <c r="E47" t="s">
        <v>27</v>
      </c>
      <c r="F47" s="35" t="s">
        <v>27</v>
      </c>
      <c r="G47" t="s">
        <v>27</v>
      </c>
      <c r="H47" t="s">
        <v>27</v>
      </c>
      <c r="I47" t="s">
        <v>27</v>
      </c>
      <c r="J47" t="s">
        <v>27</v>
      </c>
    </row>
    <row r="48" spans="1:15" x14ac:dyDescent="0.2">
      <c r="A48" s="35" t="s">
        <v>27</v>
      </c>
      <c r="B48" s="35" t="s">
        <v>27</v>
      </c>
      <c r="C48" t="s">
        <v>27</v>
      </c>
      <c r="D48" t="s">
        <v>27</v>
      </c>
      <c r="E48" t="s">
        <v>27</v>
      </c>
      <c r="F48" s="35" t="s">
        <v>27</v>
      </c>
      <c r="G48" t="s">
        <v>27</v>
      </c>
      <c r="H48" t="s">
        <v>27</v>
      </c>
      <c r="I48" t="s">
        <v>27</v>
      </c>
      <c r="J48" t="s">
        <v>27</v>
      </c>
    </row>
    <row r="49" spans="1:10" x14ac:dyDescent="0.2">
      <c r="A49" s="35" t="s">
        <v>27</v>
      </c>
      <c r="B49" s="35" t="s">
        <v>27</v>
      </c>
      <c r="C49" t="s">
        <v>27</v>
      </c>
      <c r="D49" t="s">
        <v>27</v>
      </c>
      <c r="E49" t="s">
        <v>27</v>
      </c>
      <c r="F49" s="35" t="s">
        <v>27</v>
      </c>
      <c r="G49" t="s">
        <v>27</v>
      </c>
      <c r="H49" t="s">
        <v>27</v>
      </c>
      <c r="I49" t="s">
        <v>27</v>
      </c>
      <c r="J49" t="s">
        <v>27</v>
      </c>
    </row>
    <row r="50" spans="1:10" x14ac:dyDescent="0.2">
      <c r="A50" s="35" t="s">
        <v>27</v>
      </c>
      <c r="B50" s="35" t="s">
        <v>27</v>
      </c>
      <c r="C50" t="s">
        <v>27</v>
      </c>
      <c r="D50" t="s">
        <v>27</v>
      </c>
      <c r="E50" t="s">
        <v>27</v>
      </c>
      <c r="F50" s="35" t="s">
        <v>27</v>
      </c>
      <c r="G50" t="s">
        <v>27</v>
      </c>
      <c r="H50" t="s">
        <v>27</v>
      </c>
      <c r="I50" t="s">
        <v>27</v>
      </c>
      <c r="J50" t="s">
        <v>27</v>
      </c>
    </row>
    <row r="51" spans="1:10" x14ac:dyDescent="0.2">
      <c r="A51" s="35" t="s">
        <v>27</v>
      </c>
      <c r="B51" s="35" t="s">
        <v>27</v>
      </c>
      <c r="C51" t="s">
        <v>27</v>
      </c>
      <c r="D51" t="s">
        <v>27</v>
      </c>
      <c r="E51" t="s">
        <v>27</v>
      </c>
      <c r="F51" s="35" t="s">
        <v>27</v>
      </c>
      <c r="G51" t="s">
        <v>27</v>
      </c>
      <c r="H51" t="s">
        <v>27</v>
      </c>
      <c r="I51" t="s">
        <v>27</v>
      </c>
      <c r="J51" t="s">
        <v>27</v>
      </c>
    </row>
    <row r="52" spans="1:10" x14ac:dyDescent="0.2">
      <c r="A52" s="35" t="s">
        <v>27</v>
      </c>
      <c r="B52" s="35" t="s">
        <v>27</v>
      </c>
      <c r="C52" t="s">
        <v>27</v>
      </c>
      <c r="D52" t="s">
        <v>27</v>
      </c>
      <c r="E52" t="s">
        <v>27</v>
      </c>
      <c r="F52" s="35" t="s">
        <v>27</v>
      </c>
      <c r="G52" t="s">
        <v>27</v>
      </c>
      <c r="H52" t="s">
        <v>27</v>
      </c>
      <c r="I52" t="s">
        <v>27</v>
      </c>
      <c r="J52" t="s">
        <v>27</v>
      </c>
    </row>
    <row r="53" spans="1:10" x14ac:dyDescent="0.2">
      <c r="A53" s="35" t="s">
        <v>27</v>
      </c>
      <c r="B53" s="35" t="s">
        <v>27</v>
      </c>
      <c r="C53" t="s">
        <v>27</v>
      </c>
      <c r="D53" t="s">
        <v>27</v>
      </c>
      <c r="E53" t="s">
        <v>27</v>
      </c>
      <c r="F53" s="35" t="s">
        <v>27</v>
      </c>
      <c r="G53" t="s">
        <v>27</v>
      </c>
      <c r="H53" t="s">
        <v>27</v>
      </c>
      <c r="I53" t="s">
        <v>27</v>
      </c>
      <c r="J53" t="s">
        <v>27</v>
      </c>
    </row>
    <row r="54" spans="1:10" x14ac:dyDescent="0.2">
      <c r="A54" s="35" t="s">
        <v>27</v>
      </c>
      <c r="B54" s="35" t="s">
        <v>27</v>
      </c>
      <c r="C54" t="s">
        <v>27</v>
      </c>
      <c r="D54" t="s">
        <v>27</v>
      </c>
      <c r="E54" t="s">
        <v>27</v>
      </c>
      <c r="F54" s="35" t="s">
        <v>27</v>
      </c>
      <c r="G54" t="s">
        <v>27</v>
      </c>
      <c r="H54" t="s">
        <v>27</v>
      </c>
      <c r="I54" t="s">
        <v>27</v>
      </c>
      <c r="J54" t="s">
        <v>27</v>
      </c>
    </row>
    <row r="55" spans="1:10" x14ac:dyDescent="0.2">
      <c r="A55" s="35" t="s">
        <v>27</v>
      </c>
      <c r="B55" s="35" t="s">
        <v>27</v>
      </c>
      <c r="C55" t="s">
        <v>27</v>
      </c>
      <c r="D55" t="s">
        <v>27</v>
      </c>
      <c r="E55" t="s">
        <v>27</v>
      </c>
      <c r="F55" s="35" t="s">
        <v>27</v>
      </c>
      <c r="G55" t="s">
        <v>27</v>
      </c>
      <c r="H55" t="s">
        <v>27</v>
      </c>
      <c r="I55" t="s">
        <v>27</v>
      </c>
      <c r="J55" t="s">
        <v>27</v>
      </c>
    </row>
    <row r="56" spans="1:10" x14ac:dyDescent="0.2">
      <c r="A56" s="35" t="s">
        <v>27</v>
      </c>
      <c r="B56" s="35" t="s">
        <v>27</v>
      </c>
      <c r="C56" t="s">
        <v>27</v>
      </c>
      <c r="D56" t="s">
        <v>27</v>
      </c>
      <c r="E56" t="s">
        <v>27</v>
      </c>
      <c r="F56" s="35" t="s">
        <v>27</v>
      </c>
      <c r="G56" t="s">
        <v>27</v>
      </c>
      <c r="H56" t="s">
        <v>27</v>
      </c>
      <c r="I56" t="s">
        <v>27</v>
      </c>
      <c r="J56" t="s">
        <v>27</v>
      </c>
    </row>
    <row r="57" spans="1:10" x14ac:dyDescent="0.2">
      <c r="A57" s="35" t="s">
        <v>27</v>
      </c>
      <c r="B57" s="35" t="s">
        <v>27</v>
      </c>
      <c r="C57" t="s">
        <v>27</v>
      </c>
      <c r="D57" t="s">
        <v>27</v>
      </c>
      <c r="E57" t="s">
        <v>27</v>
      </c>
      <c r="F57" s="35" t="s">
        <v>27</v>
      </c>
      <c r="G57" t="s">
        <v>27</v>
      </c>
      <c r="H57" t="s">
        <v>27</v>
      </c>
      <c r="I57" t="s">
        <v>27</v>
      </c>
      <c r="J57" t="s">
        <v>27</v>
      </c>
    </row>
    <row r="58" spans="1:10" x14ac:dyDescent="0.2">
      <c r="A58" s="35" t="s">
        <v>27</v>
      </c>
      <c r="B58" s="35" t="s">
        <v>27</v>
      </c>
      <c r="C58" t="s">
        <v>27</v>
      </c>
      <c r="D58" t="s">
        <v>27</v>
      </c>
      <c r="E58" t="s">
        <v>27</v>
      </c>
      <c r="F58" s="35" t="s">
        <v>27</v>
      </c>
      <c r="G58" t="s">
        <v>27</v>
      </c>
      <c r="H58" t="s">
        <v>27</v>
      </c>
      <c r="I58" t="s">
        <v>27</v>
      </c>
      <c r="J58" t="s">
        <v>27</v>
      </c>
    </row>
    <row r="59" spans="1:10" x14ac:dyDescent="0.2">
      <c r="A59" s="35" t="s">
        <v>27</v>
      </c>
      <c r="B59" s="35" t="s">
        <v>27</v>
      </c>
      <c r="C59" t="s">
        <v>27</v>
      </c>
      <c r="D59" t="s">
        <v>27</v>
      </c>
      <c r="E59" t="s">
        <v>27</v>
      </c>
      <c r="F59" s="35" t="s">
        <v>27</v>
      </c>
      <c r="G59" t="s">
        <v>27</v>
      </c>
      <c r="H59" t="s">
        <v>27</v>
      </c>
      <c r="I59" t="s">
        <v>27</v>
      </c>
      <c r="J59" t="s">
        <v>27</v>
      </c>
    </row>
    <row r="60" spans="1:10" x14ac:dyDescent="0.2">
      <c r="A60" s="35" t="s">
        <v>27</v>
      </c>
      <c r="B60" t="s">
        <v>27</v>
      </c>
      <c r="C60" s="35" t="s">
        <v>27</v>
      </c>
      <c r="D60" t="s">
        <v>27</v>
      </c>
      <c r="E60" s="35" t="s">
        <v>27</v>
      </c>
      <c r="F60" t="s">
        <v>27</v>
      </c>
      <c r="G60" t="s">
        <v>27</v>
      </c>
      <c r="H60" s="35" t="s">
        <v>27</v>
      </c>
      <c r="I60" t="s">
        <v>27</v>
      </c>
      <c r="J60" t="s">
        <v>27</v>
      </c>
    </row>
    <row r="61" spans="1:10" x14ac:dyDescent="0.2">
      <c r="A61" s="35" t="s">
        <v>27</v>
      </c>
      <c r="B61" t="s">
        <v>27</v>
      </c>
      <c r="C61" s="35" t="s">
        <v>27</v>
      </c>
      <c r="D61" t="s">
        <v>27</v>
      </c>
      <c r="E61" s="35" t="s">
        <v>27</v>
      </c>
      <c r="F61" t="s">
        <v>27</v>
      </c>
      <c r="G61" t="s">
        <v>27</v>
      </c>
      <c r="H61" s="35" t="s">
        <v>27</v>
      </c>
      <c r="I61" t="s">
        <v>27</v>
      </c>
      <c r="J61" t="s">
        <v>27</v>
      </c>
    </row>
    <row r="62" spans="1:10" x14ac:dyDescent="0.2">
      <c r="A62" s="35" t="s">
        <v>27</v>
      </c>
      <c r="B62" t="s">
        <v>27</v>
      </c>
      <c r="C62" s="35" t="s">
        <v>27</v>
      </c>
      <c r="D62" t="s">
        <v>27</v>
      </c>
      <c r="E62" s="35" t="s">
        <v>27</v>
      </c>
      <c r="F62" t="s">
        <v>27</v>
      </c>
      <c r="G62" t="s">
        <v>27</v>
      </c>
      <c r="H62" s="35" t="s">
        <v>27</v>
      </c>
      <c r="I62" t="s">
        <v>27</v>
      </c>
      <c r="J62" t="s">
        <v>27</v>
      </c>
    </row>
    <row r="63" spans="1:10" x14ac:dyDescent="0.2">
      <c r="A63" s="35" t="s">
        <v>27</v>
      </c>
      <c r="B63" t="s">
        <v>27</v>
      </c>
      <c r="C63" s="35" t="s">
        <v>27</v>
      </c>
      <c r="D63" t="s">
        <v>27</v>
      </c>
      <c r="E63" s="35" t="s">
        <v>27</v>
      </c>
      <c r="F63" t="s">
        <v>27</v>
      </c>
      <c r="G63" t="s">
        <v>27</v>
      </c>
      <c r="H63" s="35" t="s">
        <v>27</v>
      </c>
      <c r="I63" t="s">
        <v>27</v>
      </c>
      <c r="J63" t="s">
        <v>27</v>
      </c>
    </row>
    <row r="64" spans="1:10" x14ac:dyDescent="0.2">
      <c r="A64" s="35" t="s">
        <v>27</v>
      </c>
      <c r="B64" t="s">
        <v>27</v>
      </c>
      <c r="C64" s="35" t="s">
        <v>27</v>
      </c>
      <c r="D64" t="s">
        <v>27</v>
      </c>
      <c r="E64" s="35" t="s">
        <v>27</v>
      </c>
      <c r="F64" t="s">
        <v>27</v>
      </c>
      <c r="G64" t="s">
        <v>27</v>
      </c>
      <c r="H64" s="35" t="s">
        <v>27</v>
      </c>
      <c r="I64" t="s">
        <v>27</v>
      </c>
      <c r="J64" t="s">
        <v>27</v>
      </c>
    </row>
    <row r="65" spans="1:10" x14ac:dyDescent="0.2">
      <c r="A65" s="35" t="s">
        <v>27</v>
      </c>
      <c r="B65" t="s">
        <v>27</v>
      </c>
      <c r="C65" s="35" t="s">
        <v>27</v>
      </c>
      <c r="D65" t="s">
        <v>27</v>
      </c>
      <c r="E65" s="35" t="s">
        <v>27</v>
      </c>
      <c r="F65" t="s">
        <v>27</v>
      </c>
      <c r="G65" t="s">
        <v>27</v>
      </c>
      <c r="H65" s="35" t="s">
        <v>27</v>
      </c>
      <c r="I65" t="s">
        <v>27</v>
      </c>
      <c r="J65" t="s">
        <v>27</v>
      </c>
    </row>
    <row r="66" spans="1:10" x14ac:dyDescent="0.2">
      <c r="A66" s="35" t="s">
        <v>27</v>
      </c>
      <c r="B66" t="s">
        <v>27</v>
      </c>
      <c r="C66" s="35" t="s">
        <v>27</v>
      </c>
      <c r="D66" t="s">
        <v>27</v>
      </c>
      <c r="E66" s="35" t="s">
        <v>27</v>
      </c>
      <c r="F66" t="s">
        <v>27</v>
      </c>
      <c r="G66" t="s">
        <v>27</v>
      </c>
      <c r="H66" s="35" t="s">
        <v>27</v>
      </c>
      <c r="I66" t="s">
        <v>27</v>
      </c>
      <c r="J66" t="s">
        <v>27</v>
      </c>
    </row>
    <row r="67" spans="1:10" x14ac:dyDescent="0.2">
      <c r="A67" s="35" t="s">
        <v>27</v>
      </c>
      <c r="B67" t="s">
        <v>27</v>
      </c>
      <c r="C67" s="35" t="s">
        <v>27</v>
      </c>
      <c r="D67" t="s">
        <v>27</v>
      </c>
      <c r="E67" s="35" t="s">
        <v>27</v>
      </c>
      <c r="F67" t="s">
        <v>27</v>
      </c>
      <c r="G67" t="s">
        <v>27</v>
      </c>
      <c r="H67" s="35" t="s">
        <v>27</v>
      </c>
      <c r="I67" t="s">
        <v>27</v>
      </c>
      <c r="J67" t="s">
        <v>27</v>
      </c>
    </row>
    <row r="68" spans="1:10" x14ac:dyDescent="0.2">
      <c r="A68" s="35" t="s">
        <v>27</v>
      </c>
      <c r="B68" t="s">
        <v>27</v>
      </c>
      <c r="C68" s="35" t="s">
        <v>27</v>
      </c>
      <c r="D68" t="s">
        <v>27</v>
      </c>
      <c r="E68" s="35" t="s">
        <v>27</v>
      </c>
      <c r="F68" t="s">
        <v>27</v>
      </c>
      <c r="G68" t="s">
        <v>27</v>
      </c>
      <c r="H68" s="35" t="s">
        <v>27</v>
      </c>
      <c r="I68" t="s">
        <v>27</v>
      </c>
      <c r="J68" t="s">
        <v>27</v>
      </c>
    </row>
    <row r="69" spans="1:10" x14ac:dyDescent="0.2">
      <c r="A69" s="35" t="s">
        <v>27</v>
      </c>
      <c r="B69" t="s">
        <v>27</v>
      </c>
      <c r="C69" s="35" t="s">
        <v>27</v>
      </c>
      <c r="D69" t="s">
        <v>27</v>
      </c>
      <c r="E69" s="35" t="s">
        <v>27</v>
      </c>
      <c r="F69" t="s">
        <v>27</v>
      </c>
      <c r="G69" t="s">
        <v>27</v>
      </c>
      <c r="H69" s="35" t="s">
        <v>27</v>
      </c>
      <c r="I69" t="s">
        <v>27</v>
      </c>
      <c r="J69" t="s">
        <v>27</v>
      </c>
    </row>
    <row r="70" spans="1:10" x14ac:dyDescent="0.2">
      <c r="A70" s="35" t="s">
        <v>27</v>
      </c>
      <c r="B70" t="s">
        <v>27</v>
      </c>
      <c r="C70" s="35" t="s">
        <v>27</v>
      </c>
      <c r="D70" t="s">
        <v>27</v>
      </c>
      <c r="E70" s="35" t="s">
        <v>27</v>
      </c>
      <c r="F70" t="s">
        <v>27</v>
      </c>
      <c r="G70" t="s">
        <v>27</v>
      </c>
      <c r="H70" s="35" t="s">
        <v>27</v>
      </c>
      <c r="I70" t="s">
        <v>27</v>
      </c>
      <c r="J70" t="s">
        <v>27</v>
      </c>
    </row>
    <row r="71" spans="1:10" x14ac:dyDescent="0.2">
      <c r="A71" s="35" t="s">
        <v>27</v>
      </c>
      <c r="B71" t="s">
        <v>27</v>
      </c>
      <c r="C71" s="35" t="s">
        <v>27</v>
      </c>
      <c r="D71" t="s">
        <v>27</v>
      </c>
      <c r="E71" s="35" t="s">
        <v>27</v>
      </c>
      <c r="F71" t="s">
        <v>27</v>
      </c>
      <c r="G71" t="s">
        <v>27</v>
      </c>
      <c r="H71" s="35" t="s">
        <v>27</v>
      </c>
      <c r="I71" t="s">
        <v>27</v>
      </c>
      <c r="J71" t="s">
        <v>27</v>
      </c>
    </row>
    <row r="72" spans="1:10" x14ac:dyDescent="0.2">
      <c r="A72" s="35" t="s">
        <v>27</v>
      </c>
      <c r="B72" t="s">
        <v>27</v>
      </c>
      <c r="C72" s="35" t="s">
        <v>27</v>
      </c>
      <c r="D72" t="s">
        <v>27</v>
      </c>
      <c r="E72" s="35" t="s">
        <v>27</v>
      </c>
      <c r="F72" t="s">
        <v>27</v>
      </c>
      <c r="G72" t="s">
        <v>27</v>
      </c>
      <c r="H72" s="35" t="s">
        <v>27</v>
      </c>
      <c r="I72" t="s">
        <v>27</v>
      </c>
      <c r="J72" t="s">
        <v>27</v>
      </c>
    </row>
    <row r="73" spans="1:10" x14ac:dyDescent="0.2">
      <c r="A73" s="35" t="s">
        <v>27</v>
      </c>
      <c r="B73" t="s">
        <v>27</v>
      </c>
      <c r="C73" s="35" t="s">
        <v>27</v>
      </c>
      <c r="D73" t="s">
        <v>27</v>
      </c>
      <c r="E73" s="35" t="s">
        <v>27</v>
      </c>
      <c r="F73" t="s">
        <v>27</v>
      </c>
      <c r="G73" t="s">
        <v>27</v>
      </c>
      <c r="H73" s="35" t="s">
        <v>27</v>
      </c>
      <c r="I73" t="s">
        <v>27</v>
      </c>
      <c r="J73" t="s">
        <v>27</v>
      </c>
    </row>
    <row r="74" spans="1:10" x14ac:dyDescent="0.2">
      <c r="A74" s="35" t="s">
        <v>27</v>
      </c>
      <c r="B74" t="s">
        <v>27</v>
      </c>
      <c r="C74" s="35" t="s">
        <v>27</v>
      </c>
      <c r="D74" t="s">
        <v>27</v>
      </c>
      <c r="E74" s="35" t="s">
        <v>27</v>
      </c>
      <c r="F74" t="s">
        <v>27</v>
      </c>
      <c r="G74" t="s">
        <v>27</v>
      </c>
      <c r="H74" s="35" t="s">
        <v>27</v>
      </c>
      <c r="I74" t="s">
        <v>27</v>
      </c>
      <c r="J74" t="s">
        <v>27</v>
      </c>
    </row>
    <row r="75" spans="1:10" x14ac:dyDescent="0.2">
      <c r="A75" s="35" t="s">
        <v>27</v>
      </c>
      <c r="B75" t="s">
        <v>27</v>
      </c>
      <c r="C75" s="35" t="s">
        <v>27</v>
      </c>
      <c r="D75" t="s">
        <v>27</v>
      </c>
      <c r="E75" s="35" t="s">
        <v>27</v>
      </c>
      <c r="F75" t="s">
        <v>27</v>
      </c>
      <c r="G75" t="s">
        <v>27</v>
      </c>
      <c r="H75" s="35" t="s">
        <v>27</v>
      </c>
      <c r="I75" t="s">
        <v>27</v>
      </c>
      <c r="J75" t="s">
        <v>27</v>
      </c>
    </row>
    <row r="76" spans="1:10" x14ac:dyDescent="0.2">
      <c r="A76" s="35" t="s">
        <v>27</v>
      </c>
      <c r="B76" t="s">
        <v>27</v>
      </c>
      <c r="C76" s="35" t="s">
        <v>27</v>
      </c>
      <c r="D76" t="s">
        <v>27</v>
      </c>
      <c r="E76" s="35" t="s">
        <v>27</v>
      </c>
      <c r="F76" t="s">
        <v>27</v>
      </c>
      <c r="G76" t="s">
        <v>27</v>
      </c>
      <c r="H76" s="35" t="s">
        <v>27</v>
      </c>
      <c r="I76" t="s">
        <v>27</v>
      </c>
      <c r="J76" t="s">
        <v>27</v>
      </c>
    </row>
    <row r="77" spans="1:10" x14ac:dyDescent="0.2">
      <c r="A77" s="35" t="s">
        <v>27</v>
      </c>
      <c r="B77" t="s">
        <v>27</v>
      </c>
      <c r="C77" s="35" t="s">
        <v>27</v>
      </c>
      <c r="D77" t="s">
        <v>27</v>
      </c>
      <c r="E77" s="35" t="s">
        <v>27</v>
      </c>
      <c r="F77" t="s">
        <v>27</v>
      </c>
      <c r="G77" t="s">
        <v>27</v>
      </c>
      <c r="H77" s="35" t="s">
        <v>27</v>
      </c>
      <c r="I77" t="s">
        <v>27</v>
      </c>
      <c r="J77" t="s">
        <v>27</v>
      </c>
    </row>
    <row r="78" spans="1:10" x14ac:dyDescent="0.2">
      <c r="A78" s="35" t="s">
        <v>27</v>
      </c>
      <c r="B78" t="s">
        <v>27</v>
      </c>
      <c r="C78" s="35" t="s">
        <v>27</v>
      </c>
      <c r="D78" t="s">
        <v>27</v>
      </c>
      <c r="E78" s="35" t="s">
        <v>27</v>
      </c>
      <c r="F78" t="s">
        <v>27</v>
      </c>
      <c r="G78" t="s">
        <v>27</v>
      </c>
      <c r="H78" s="35" t="s">
        <v>27</v>
      </c>
      <c r="I78" t="s">
        <v>27</v>
      </c>
      <c r="J78" t="s">
        <v>27</v>
      </c>
    </row>
    <row r="79" spans="1:10" x14ac:dyDescent="0.2">
      <c r="A79" s="35" t="s">
        <v>27</v>
      </c>
      <c r="B79" t="s">
        <v>27</v>
      </c>
      <c r="C79" s="35" t="s">
        <v>27</v>
      </c>
      <c r="D79" t="s">
        <v>27</v>
      </c>
      <c r="E79" s="35" t="s">
        <v>27</v>
      </c>
      <c r="F79" t="s">
        <v>27</v>
      </c>
      <c r="G79" t="s">
        <v>27</v>
      </c>
      <c r="H79" s="35" t="s">
        <v>27</v>
      </c>
      <c r="I79" t="s">
        <v>27</v>
      </c>
      <c r="J79" t="s">
        <v>27</v>
      </c>
    </row>
    <row r="80" spans="1:10" x14ac:dyDescent="0.2">
      <c r="A80" s="35" t="s">
        <v>27</v>
      </c>
      <c r="B80" t="s">
        <v>27</v>
      </c>
      <c r="C80" s="35" t="s">
        <v>27</v>
      </c>
      <c r="D80" t="s">
        <v>27</v>
      </c>
      <c r="E80" s="35" t="s">
        <v>27</v>
      </c>
      <c r="F80" t="s">
        <v>27</v>
      </c>
      <c r="G80" t="s">
        <v>27</v>
      </c>
      <c r="H80" s="35" t="s">
        <v>27</v>
      </c>
      <c r="I80" t="s">
        <v>27</v>
      </c>
      <c r="J80" t="s">
        <v>27</v>
      </c>
    </row>
    <row r="81" spans="1:10" x14ac:dyDescent="0.2">
      <c r="A81" s="35" t="s">
        <v>27</v>
      </c>
      <c r="B81" t="s">
        <v>27</v>
      </c>
      <c r="C81" s="35" t="s">
        <v>27</v>
      </c>
      <c r="D81" t="s">
        <v>27</v>
      </c>
      <c r="E81" s="35" t="s">
        <v>27</v>
      </c>
      <c r="F81" t="s">
        <v>27</v>
      </c>
      <c r="G81" t="s">
        <v>27</v>
      </c>
      <c r="H81" s="35" t="s">
        <v>27</v>
      </c>
      <c r="I81" t="s">
        <v>27</v>
      </c>
      <c r="J81" t="s">
        <v>27</v>
      </c>
    </row>
    <row r="82" spans="1:10" x14ac:dyDescent="0.2">
      <c r="A82" s="35" t="s">
        <v>27</v>
      </c>
      <c r="B82" t="s">
        <v>27</v>
      </c>
      <c r="C82" s="35" t="s">
        <v>27</v>
      </c>
      <c r="D82" t="s">
        <v>27</v>
      </c>
      <c r="E82" s="35" t="s">
        <v>27</v>
      </c>
      <c r="F82" t="s">
        <v>27</v>
      </c>
      <c r="G82" t="s">
        <v>27</v>
      </c>
      <c r="H82" s="35" t="s">
        <v>27</v>
      </c>
      <c r="I82" t="s">
        <v>27</v>
      </c>
      <c r="J82" t="s">
        <v>27</v>
      </c>
    </row>
    <row r="83" spans="1:10" x14ac:dyDescent="0.2">
      <c r="A83" s="35" t="s">
        <v>27</v>
      </c>
      <c r="B83" t="s">
        <v>27</v>
      </c>
      <c r="C83" s="35" t="s">
        <v>27</v>
      </c>
      <c r="D83" t="s">
        <v>27</v>
      </c>
      <c r="E83" s="35" t="s">
        <v>27</v>
      </c>
      <c r="F83" t="s">
        <v>27</v>
      </c>
      <c r="G83" t="s">
        <v>27</v>
      </c>
      <c r="H83" s="35" t="s">
        <v>27</v>
      </c>
      <c r="I83" t="s">
        <v>27</v>
      </c>
      <c r="J83" t="s">
        <v>27</v>
      </c>
    </row>
    <row r="84" spans="1:10" x14ac:dyDescent="0.2">
      <c r="A84" s="35" t="s">
        <v>27</v>
      </c>
      <c r="B84" t="s">
        <v>27</v>
      </c>
      <c r="C84" s="35" t="s">
        <v>27</v>
      </c>
      <c r="D84" t="s">
        <v>27</v>
      </c>
      <c r="E84" s="35" t="s">
        <v>27</v>
      </c>
      <c r="F84" t="s">
        <v>27</v>
      </c>
      <c r="G84" t="s">
        <v>27</v>
      </c>
      <c r="H84" s="35" t="s">
        <v>27</v>
      </c>
      <c r="I84" t="s">
        <v>27</v>
      </c>
      <c r="J84" t="s">
        <v>27</v>
      </c>
    </row>
    <row r="85" spans="1:10" x14ac:dyDescent="0.2">
      <c r="A85" s="35" t="s">
        <v>27</v>
      </c>
      <c r="B85" t="s">
        <v>27</v>
      </c>
      <c r="C85" s="35" t="s">
        <v>27</v>
      </c>
      <c r="D85" t="s">
        <v>27</v>
      </c>
      <c r="E85" s="35" t="s">
        <v>27</v>
      </c>
      <c r="F85" t="s">
        <v>27</v>
      </c>
      <c r="G85" t="s">
        <v>27</v>
      </c>
      <c r="H85" s="35" t="s">
        <v>27</v>
      </c>
      <c r="I85" t="s">
        <v>27</v>
      </c>
      <c r="J85" t="s">
        <v>27</v>
      </c>
    </row>
    <row r="86" spans="1:10" x14ac:dyDescent="0.2">
      <c r="A86" s="35" t="s">
        <v>27</v>
      </c>
      <c r="B86" t="s">
        <v>27</v>
      </c>
      <c r="C86" s="35" t="s">
        <v>27</v>
      </c>
      <c r="D86" t="s">
        <v>27</v>
      </c>
      <c r="E86" s="35" t="s">
        <v>27</v>
      </c>
      <c r="F86" t="s">
        <v>27</v>
      </c>
      <c r="G86" t="s">
        <v>27</v>
      </c>
      <c r="H86" s="35" t="s">
        <v>27</v>
      </c>
      <c r="I86" t="s">
        <v>27</v>
      </c>
      <c r="J86" t="s">
        <v>27</v>
      </c>
    </row>
    <row r="87" spans="1:10" x14ac:dyDescent="0.2">
      <c r="A87" s="35" t="s">
        <v>27</v>
      </c>
      <c r="B87" t="s">
        <v>27</v>
      </c>
      <c r="C87" s="35" t="s">
        <v>27</v>
      </c>
      <c r="D87" t="s">
        <v>27</v>
      </c>
      <c r="E87" s="35" t="s">
        <v>27</v>
      </c>
      <c r="F87" t="s">
        <v>27</v>
      </c>
      <c r="G87" t="s">
        <v>27</v>
      </c>
      <c r="H87" s="35" t="s">
        <v>27</v>
      </c>
      <c r="I87" t="s">
        <v>27</v>
      </c>
      <c r="J87" t="s">
        <v>27</v>
      </c>
    </row>
    <row r="88" spans="1:10" x14ac:dyDescent="0.2">
      <c r="A88" s="35" t="s">
        <v>27</v>
      </c>
      <c r="B88" t="s">
        <v>27</v>
      </c>
      <c r="C88" s="35" t="s">
        <v>27</v>
      </c>
      <c r="D88" t="s">
        <v>27</v>
      </c>
      <c r="E88" s="35" t="s">
        <v>27</v>
      </c>
      <c r="F88" t="s">
        <v>27</v>
      </c>
      <c r="G88" t="s">
        <v>27</v>
      </c>
      <c r="H88" s="35" t="s">
        <v>27</v>
      </c>
      <c r="I88" t="s">
        <v>27</v>
      </c>
      <c r="J88" t="s">
        <v>27</v>
      </c>
    </row>
    <row r="89" spans="1:10" x14ac:dyDescent="0.2">
      <c r="A89" s="35" t="s">
        <v>27</v>
      </c>
      <c r="B89" t="s">
        <v>27</v>
      </c>
      <c r="C89" s="35" t="s">
        <v>27</v>
      </c>
      <c r="D89" t="s">
        <v>27</v>
      </c>
      <c r="E89" s="35" t="s">
        <v>27</v>
      </c>
      <c r="F89" t="s">
        <v>27</v>
      </c>
      <c r="G89" t="s">
        <v>27</v>
      </c>
      <c r="H89" s="35" t="s">
        <v>27</v>
      </c>
      <c r="I89" t="s">
        <v>27</v>
      </c>
      <c r="J89" t="s">
        <v>27</v>
      </c>
    </row>
    <row r="90" spans="1:10" x14ac:dyDescent="0.2">
      <c r="A90" s="35" t="s">
        <v>27</v>
      </c>
      <c r="B90" t="s">
        <v>27</v>
      </c>
      <c r="C90" s="35" t="s">
        <v>27</v>
      </c>
      <c r="D90" t="s">
        <v>27</v>
      </c>
      <c r="E90" s="35" t="s">
        <v>27</v>
      </c>
      <c r="F90" t="s">
        <v>27</v>
      </c>
      <c r="G90" t="s">
        <v>27</v>
      </c>
      <c r="H90" s="35" t="s">
        <v>27</v>
      </c>
      <c r="I90" t="s">
        <v>27</v>
      </c>
      <c r="J90" t="s">
        <v>27</v>
      </c>
    </row>
    <row r="91" spans="1:10" x14ac:dyDescent="0.2">
      <c r="A91" s="35" t="s">
        <v>27</v>
      </c>
      <c r="B91" t="s">
        <v>27</v>
      </c>
      <c r="C91" s="35" t="s">
        <v>27</v>
      </c>
      <c r="D91" t="s">
        <v>27</v>
      </c>
      <c r="E91" s="35" t="s">
        <v>27</v>
      </c>
      <c r="F91" t="s">
        <v>27</v>
      </c>
      <c r="G91" t="s">
        <v>27</v>
      </c>
      <c r="H91" s="35" t="s">
        <v>27</v>
      </c>
      <c r="I91" t="s">
        <v>27</v>
      </c>
      <c r="J91" t="s">
        <v>27</v>
      </c>
    </row>
    <row r="92" spans="1:10" x14ac:dyDescent="0.2">
      <c r="A92" s="35" t="s">
        <v>27</v>
      </c>
      <c r="B92" t="s">
        <v>27</v>
      </c>
      <c r="C92" s="35" t="s">
        <v>27</v>
      </c>
      <c r="D92" t="s">
        <v>27</v>
      </c>
      <c r="E92" s="35" t="s">
        <v>27</v>
      </c>
      <c r="F92" t="s">
        <v>27</v>
      </c>
      <c r="G92" t="s">
        <v>27</v>
      </c>
      <c r="H92" s="35" t="s">
        <v>27</v>
      </c>
      <c r="I92" t="s">
        <v>27</v>
      </c>
      <c r="J92" t="s">
        <v>27</v>
      </c>
    </row>
    <row r="93" spans="1:10" x14ac:dyDescent="0.2">
      <c r="A93" s="35" t="s">
        <v>27</v>
      </c>
      <c r="B93" t="s">
        <v>27</v>
      </c>
      <c r="C93" s="35" t="s">
        <v>27</v>
      </c>
      <c r="D93" t="s">
        <v>27</v>
      </c>
      <c r="E93" s="35" t="s">
        <v>27</v>
      </c>
      <c r="F93" t="s">
        <v>27</v>
      </c>
      <c r="G93" t="s">
        <v>27</v>
      </c>
      <c r="H93" s="35" t="s">
        <v>27</v>
      </c>
      <c r="I93" t="s">
        <v>27</v>
      </c>
      <c r="J93" t="s">
        <v>27</v>
      </c>
    </row>
    <row r="94" spans="1:10" x14ac:dyDescent="0.2">
      <c r="A94" s="35" t="s">
        <v>27</v>
      </c>
      <c r="B94" t="s">
        <v>27</v>
      </c>
      <c r="C94" s="35" t="s">
        <v>27</v>
      </c>
      <c r="D94" t="s">
        <v>27</v>
      </c>
      <c r="E94" s="35" t="s">
        <v>27</v>
      </c>
      <c r="F94" t="s">
        <v>27</v>
      </c>
      <c r="G94" t="s">
        <v>27</v>
      </c>
      <c r="H94" s="35" t="s">
        <v>27</v>
      </c>
      <c r="I94" t="s">
        <v>27</v>
      </c>
      <c r="J94" t="s">
        <v>27</v>
      </c>
    </row>
    <row r="95" spans="1:10" x14ac:dyDescent="0.2">
      <c r="A95" s="35" t="s">
        <v>27</v>
      </c>
      <c r="B95" t="s">
        <v>27</v>
      </c>
      <c r="C95" s="35" t="s">
        <v>27</v>
      </c>
      <c r="D95" t="s">
        <v>27</v>
      </c>
      <c r="E95" s="35" t="s">
        <v>27</v>
      </c>
      <c r="F95" t="s">
        <v>27</v>
      </c>
      <c r="G95" t="s">
        <v>27</v>
      </c>
      <c r="H95" s="35" t="s">
        <v>27</v>
      </c>
      <c r="I95" t="s">
        <v>27</v>
      </c>
      <c r="J95" t="s">
        <v>27</v>
      </c>
    </row>
    <row r="96" spans="1:10" x14ac:dyDescent="0.2">
      <c r="A96" s="35" t="s">
        <v>27</v>
      </c>
      <c r="B96" t="s">
        <v>27</v>
      </c>
      <c r="C96" s="35" t="s">
        <v>27</v>
      </c>
      <c r="D96" t="s">
        <v>27</v>
      </c>
      <c r="E96" s="35" t="s">
        <v>27</v>
      </c>
      <c r="F96" t="s">
        <v>27</v>
      </c>
      <c r="G96" t="s">
        <v>27</v>
      </c>
      <c r="H96" s="35" t="s">
        <v>27</v>
      </c>
      <c r="I96" t="s">
        <v>27</v>
      </c>
      <c r="J96" t="s">
        <v>27</v>
      </c>
    </row>
    <row r="97" spans="1:10" x14ac:dyDescent="0.2">
      <c r="A97" s="35" t="s">
        <v>27</v>
      </c>
      <c r="B97" t="s">
        <v>27</v>
      </c>
      <c r="C97" s="35" t="s">
        <v>27</v>
      </c>
      <c r="D97" t="s">
        <v>27</v>
      </c>
      <c r="E97" s="35" t="s">
        <v>27</v>
      </c>
      <c r="F97" t="s">
        <v>27</v>
      </c>
      <c r="G97" t="s">
        <v>27</v>
      </c>
      <c r="H97" s="35" t="s">
        <v>27</v>
      </c>
      <c r="I97" t="s">
        <v>27</v>
      </c>
      <c r="J97" t="s">
        <v>27</v>
      </c>
    </row>
    <row r="98" spans="1:10" x14ac:dyDescent="0.2">
      <c r="A98" s="35" t="s">
        <v>27</v>
      </c>
      <c r="B98" t="s">
        <v>27</v>
      </c>
      <c r="C98" s="35" t="s">
        <v>27</v>
      </c>
      <c r="D98" t="s">
        <v>27</v>
      </c>
      <c r="E98" s="35" t="s">
        <v>27</v>
      </c>
      <c r="F98" t="s">
        <v>27</v>
      </c>
      <c r="G98" t="s">
        <v>27</v>
      </c>
      <c r="H98" s="35" t="s">
        <v>27</v>
      </c>
      <c r="I98" t="s">
        <v>27</v>
      </c>
      <c r="J98" t="s">
        <v>27</v>
      </c>
    </row>
    <row r="99" spans="1:10" x14ac:dyDescent="0.2">
      <c r="A99" s="35" t="s">
        <v>27</v>
      </c>
      <c r="B99" t="s">
        <v>27</v>
      </c>
      <c r="C99" s="35" t="s">
        <v>27</v>
      </c>
      <c r="D99" t="s">
        <v>27</v>
      </c>
      <c r="E99" s="35" t="s">
        <v>27</v>
      </c>
      <c r="F99" t="s">
        <v>27</v>
      </c>
      <c r="G99" t="s">
        <v>27</v>
      </c>
      <c r="H99" s="35" t="s">
        <v>27</v>
      </c>
      <c r="I99" t="s">
        <v>27</v>
      </c>
      <c r="J99" t="s">
        <v>27</v>
      </c>
    </row>
    <row r="100" spans="1:10" x14ac:dyDescent="0.2">
      <c r="A100" s="35" t="s">
        <v>27</v>
      </c>
      <c r="B100" t="s">
        <v>27</v>
      </c>
      <c r="C100" s="35" t="s">
        <v>27</v>
      </c>
      <c r="D100" t="s">
        <v>27</v>
      </c>
      <c r="E100" s="35" t="s">
        <v>27</v>
      </c>
      <c r="F100" t="s">
        <v>27</v>
      </c>
      <c r="G100" t="s">
        <v>27</v>
      </c>
      <c r="H100" s="35" t="s">
        <v>27</v>
      </c>
      <c r="I100" t="s">
        <v>27</v>
      </c>
      <c r="J100" t="s">
        <v>27</v>
      </c>
    </row>
    <row r="101" spans="1:10" x14ac:dyDescent="0.2">
      <c r="A101" s="35" t="s">
        <v>27</v>
      </c>
      <c r="B101" t="s">
        <v>27</v>
      </c>
      <c r="C101" s="35" t="s">
        <v>27</v>
      </c>
      <c r="D101" t="s">
        <v>27</v>
      </c>
      <c r="E101" s="35" t="s">
        <v>27</v>
      </c>
      <c r="F101" t="s">
        <v>27</v>
      </c>
      <c r="G101" t="s">
        <v>27</v>
      </c>
      <c r="H101" s="35" t="s">
        <v>27</v>
      </c>
      <c r="I101" t="s">
        <v>27</v>
      </c>
      <c r="J101" t="s">
        <v>27</v>
      </c>
    </row>
    <row r="102" spans="1:10" x14ac:dyDescent="0.2">
      <c r="A102" s="35" t="s">
        <v>27</v>
      </c>
      <c r="B102" t="s">
        <v>27</v>
      </c>
      <c r="C102" s="35" t="s">
        <v>27</v>
      </c>
      <c r="D102" t="s">
        <v>27</v>
      </c>
      <c r="E102" s="35" t="s">
        <v>27</v>
      </c>
      <c r="F102" t="s">
        <v>27</v>
      </c>
      <c r="G102" t="s">
        <v>27</v>
      </c>
      <c r="H102" s="35" t="s">
        <v>27</v>
      </c>
      <c r="I102" t="s">
        <v>27</v>
      </c>
      <c r="J102" t="s">
        <v>27</v>
      </c>
    </row>
    <row r="103" spans="1:10" x14ac:dyDescent="0.2">
      <c r="A103" s="35" t="s">
        <v>27</v>
      </c>
      <c r="B103" t="s">
        <v>27</v>
      </c>
      <c r="C103" s="35" t="s">
        <v>27</v>
      </c>
      <c r="D103" t="s">
        <v>27</v>
      </c>
      <c r="E103" s="35" t="s">
        <v>27</v>
      </c>
      <c r="F103" t="s">
        <v>27</v>
      </c>
      <c r="G103" t="s">
        <v>27</v>
      </c>
      <c r="H103" s="35" t="s">
        <v>27</v>
      </c>
      <c r="I103" t="s">
        <v>27</v>
      </c>
      <c r="J103" t="s">
        <v>27</v>
      </c>
    </row>
    <row r="104" spans="1:10" x14ac:dyDescent="0.2">
      <c r="A104" s="35" t="s">
        <v>27</v>
      </c>
      <c r="B104" t="s">
        <v>27</v>
      </c>
      <c r="C104" s="35" t="s">
        <v>27</v>
      </c>
      <c r="D104" t="s">
        <v>27</v>
      </c>
      <c r="E104" s="35" t="s">
        <v>27</v>
      </c>
      <c r="F104" t="s">
        <v>27</v>
      </c>
      <c r="G104" t="s">
        <v>27</v>
      </c>
      <c r="H104" s="35" t="s">
        <v>27</v>
      </c>
      <c r="I104" t="s">
        <v>27</v>
      </c>
      <c r="J104" t="s">
        <v>27</v>
      </c>
    </row>
    <row r="105" spans="1:10" x14ac:dyDescent="0.2">
      <c r="A105" s="35" t="s">
        <v>27</v>
      </c>
      <c r="B105" t="s">
        <v>27</v>
      </c>
      <c r="C105" s="35" t="s">
        <v>27</v>
      </c>
      <c r="D105" t="s">
        <v>27</v>
      </c>
      <c r="E105" s="35" t="s">
        <v>27</v>
      </c>
      <c r="F105" t="s">
        <v>27</v>
      </c>
      <c r="G105" t="s">
        <v>27</v>
      </c>
      <c r="H105" s="35" t="s">
        <v>27</v>
      </c>
      <c r="I105" t="s">
        <v>27</v>
      </c>
      <c r="J105" t="s">
        <v>27</v>
      </c>
    </row>
    <row r="106" spans="1:10" x14ac:dyDescent="0.2">
      <c r="A106" s="35" t="s">
        <v>27</v>
      </c>
      <c r="B106" t="s">
        <v>27</v>
      </c>
      <c r="C106" s="35" t="s">
        <v>27</v>
      </c>
      <c r="D106" t="s">
        <v>27</v>
      </c>
      <c r="E106" s="35" t="s">
        <v>27</v>
      </c>
      <c r="F106" t="s">
        <v>27</v>
      </c>
      <c r="G106" t="s">
        <v>27</v>
      </c>
      <c r="H106" s="35" t="s">
        <v>27</v>
      </c>
      <c r="I106" t="s">
        <v>27</v>
      </c>
      <c r="J106" t="s">
        <v>27</v>
      </c>
    </row>
    <row r="107" spans="1:10" x14ac:dyDescent="0.2">
      <c r="A107" s="35" t="s">
        <v>27</v>
      </c>
      <c r="B107" t="s">
        <v>27</v>
      </c>
      <c r="C107" s="35" t="s">
        <v>27</v>
      </c>
      <c r="D107" t="s">
        <v>27</v>
      </c>
      <c r="E107" s="35" t="s">
        <v>27</v>
      </c>
      <c r="F107" t="s">
        <v>27</v>
      </c>
      <c r="G107" t="s">
        <v>27</v>
      </c>
      <c r="H107" s="35" t="s">
        <v>27</v>
      </c>
      <c r="I107" t="s">
        <v>27</v>
      </c>
      <c r="J107" t="s">
        <v>27</v>
      </c>
    </row>
    <row r="108" spans="1:10" x14ac:dyDescent="0.2">
      <c r="A108" s="35" t="s">
        <v>27</v>
      </c>
      <c r="B108" t="s">
        <v>27</v>
      </c>
      <c r="C108" s="35" t="s">
        <v>27</v>
      </c>
      <c r="D108" t="s">
        <v>27</v>
      </c>
      <c r="E108" s="35" t="s">
        <v>27</v>
      </c>
      <c r="F108" t="s">
        <v>27</v>
      </c>
      <c r="G108" t="s">
        <v>27</v>
      </c>
      <c r="H108" s="35" t="s">
        <v>27</v>
      </c>
      <c r="I108" t="s">
        <v>27</v>
      </c>
      <c r="J108" t="s">
        <v>27</v>
      </c>
    </row>
    <row r="109" spans="1:10" x14ac:dyDescent="0.2">
      <c r="A109" s="35" t="s">
        <v>27</v>
      </c>
      <c r="B109" t="s">
        <v>27</v>
      </c>
      <c r="C109" s="35" t="s">
        <v>27</v>
      </c>
      <c r="D109" t="s">
        <v>27</v>
      </c>
      <c r="E109" s="35" t="s">
        <v>27</v>
      </c>
      <c r="F109" t="s">
        <v>27</v>
      </c>
      <c r="G109" t="s">
        <v>27</v>
      </c>
      <c r="H109" s="35" t="s">
        <v>27</v>
      </c>
      <c r="I109" t="s">
        <v>27</v>
      </c>
      <c r="J109" t="s">
        <v>27</v>
      </c>
    </row>
    <row r="110" spans="1:10" x14ac:dyDescent="0.2">
      <c r="A110" s="35" t="s">
        <v>27</v>
      </c>
      <c r="B110" t="s">
        <v>27</v>
      </c>
      <c r="C110" s="35" t="s">
        <v>27</v>
      </c>
      <c r="D110" t="s">
        <v>27</v>
      </c>
      <c r="E110" s="35" t="s">
        <v>27</v>
      </c>
      <c r="F110" t="s">
        <v>27</v>
      </c>
      <c r="G110" t="s">
        <v>27</v>
      </c>
      <c r="H110" s="35" t="s">
        <v>27</v>
      </c>
      <c r="I110" t="s">
        <v>27</v>
      </c>
      <c r="J110" t="s">
        <v>27</v>
      </c>
    </row>
    <row r="111" spans="1:10" x14ac:dyDescent="0.2">
      <c r="A111" s="35" t="s">
        <v>27</v>
      </c>
      <c r="B111" t="s">
        <v>27</v>
      </c>
      <c r="C111" s="35" t="s">
        <v>27</v>
      </c>
      <c r="D111" t="s">
        <v>27</v>
      </c>
      <c r="E111" s="35" t="s">
        <v>27</v>
      </c>
      <c r="F111" t="s">
        <v>27</v>
      </c>
      <c r="G111" t="s">
        <v>27</v>
      </c>
      <c r="H111" s="35" t="s">
        <v>27</v>
      </c>
      <c r="I111" t="s">
        <v>27</v>
      </c>
      <c r="J111" t="s">
        <v>27</v>
      </c>
    </row>
    <row r="112" spans="1:10" x14ac:dyDescent="0.2">
      <c r="A112" s="35" t="s">
        <v>27</v>
      </c>
      <c r="B112" t="s">
        <v>27</v>
      </c>
      <c r="C112" s="35" t="s">
        <v>27</v>
      </c>
      <c r="D112" t="s">
        <v>27</v>
      </c>
      <c r="E112" s="35" t="s">
        <v>27</v>
      </c>
      <c r="F112" t="s">
        <v>27</v>
      </c>
      <c r="G112" t="s">
        <v>27</v>
      </c>
      <c r="H112" s="35" t="s">
        <v>27</v>
      </c>
      <c r="I112" t="s">
        <v>27</v>
      </c>
      <c r="J112" t="s">
        <v>27</v>
      </c>
    </row>
    <row r="113" spans="1:10" x14ac:dyDescent="0.2">
      <c r="A113" s="35" t="s">
        <v>27</v>
      </c>
      <c r="B113" t="s">
        <v>27</v>
      </c>
      <c r="C113" s="35" t="s">
        <v>27</v>
      </c>
      <c r="D113" t="s">
        <v>27</v>
      </c>
      <c r="E113" s="35" t="s">
        <v>27</v>
      </c>
      <c r="F113" t="s">
        <v>27</v>
      </c>
      <c r="G113" t="s">
        <v>27</v>
      </c>
      <c r="H113" s="35" t="s">
        <v>27</v>
      </c>
      <c r="I113" t="s">
        <v>27</v>
      </c>
      <c r="J113" t="s">
        <v>27</v>
      </c>
    </row>
    <row r="114" spans="1:10" x14ac:dyDescent="0.2">
      <c r="A114" s="35" t="s">
        <v>27</v>
      </c>
      <c r="B114" t="s">
        <v>27</v>
      </c>
      <c r="C114" s="35" t="s">
        <v>27</v>
      </c>
      <c r="D114" t="s">
        <v>27</v>
      </c>
      <c r="E114" s="35" t="s">
        <v>27</v>
      </c>
      <c r="F114" t="s">
        <v>27</v>
      </c>
      <c r="G114" t="s">
        <v>27</v>
      </c>
      <c r="H114" s="35" t="s">
        <v>27</v>
      </c>
      <c r="I114" t="s">
        <v>27</v>
      </c>
      <c r="J114" t="s">
        <v>27</v>
      </c>
    </row>
    <row r="115" spans="1:10" x14ac:dyDescent="0.2">
      <c r="A115" s="35" t="s">
        <v>27</v>
      </c>
      <c r="B115" t="s">
        <v>27</v>
      </c>
      <c r="C115" s="35" t="s">
        <v>27</v>
      </c>
      <c r="D115" t="s">
        <v>27</v>
      </c>
      <c r="E115" s="35" t="s">
        <v>27</v>
      </c>
      <c r="F115" t="s">
        <v>27</v>
      </c>
      <c r="G115" t="s">
        <v>27</v>
      </c>
      <c r="H115" s="35" t="s">
        <v>27</v>
      </c>
      <c r="I115" t="s">
        <v>27</v>
      </c>
      <c r="J115" t="s">
        <v>27</v>
      </c>
    </row>
    <row r="116" spans="1:10" x14ac:dyDescent="0.2">
      <c r="A116" s="35" t="s">
        <v>27</v>
      </c>
      <c r="B116" t="s">
        <v>27</v>
      </c>
      <c r="C116" s="35" t="s">
        <v>27</v>
      </c>
      <c r="D116" t="s">
        <v>27</v>
      </c>
      <c r="E116" s="35" t="s">
        <v>27</v>
      </c>
      <c r="F116" t="s">
        <v>27</v>
      </c>
      <c r="G116" t="s">
        <v>27</v>
      </c>
      <c r="H116" s="35" t="s">
        <v>27</v>
      </c>
      <c r="I116" t="s">
        <v>27</v>
      </c>
      <c r="J116" t="s">
        <v>27</v>
      </c>
    </row>
    <row r="117" spans="1:10" x14ac:dyDescent="0.2">
      <c r="A117" s="35" t="s">
        <v>27</v>
      </c>
      <c r="B117" t="s">
        <v>27</v>
      </c>
      <c r="C117" s="35" t="s">
        <v>27</v>
      </c>
      <c r="D117" t="s">
        <v>27</v>
      </c>
      <c r="E117" s="35" t="s">
        <v>27</v>
      </c>
      <c r="F117" t="s">
        <v>27</v>
      </c>
      <c r="G117" t="s">
        <v>27</v>
      </c>
      <c r="H117" s="35" t="s">
        <v>27</v>
      </c>
      <c r="I117" t="s">
        <v>27</v>
      </c>
      <c r="J117" t="s">
        <v>27</v>
      </c>
    </row>
    <row r="118" spans="1:10" x14ac:dyDescent="0.2">
      <c r="A118" s="35" t="s">
        <v>27</v>
      </c>
      <c r="B118" t="s">
        <v>27</v>
      </c>
      <c r="C118" s="35" t="s">
        <v>27</v>
      </c>
      <c r="D118" t="s">
        <v>27</v>
      </c>
      <c r="E118" s="35" t="s">
        <v>27</v>
      </c>
      <c r="F118" t="s">
        <v>27</v>
      </c>
      <c r="G118" t="s">
        <v>27</v>
      </c>
      <c r="H118" s="35" t="s">
        <v>27</v>
      </c>
      <c r="I118" t="s">
        <v>27</v>
      </c>
      <c r="J118" t="s">
        <v>27</v>
      </c>
    </row>
    <row r="119" spans="1:10" x14ac:dyDescent="0.2">
      <c r="A119" s="35" t="s">
        <v>27</v>
      </c>
      <c r="B119" t="s">
        <v>27</v>
      </c>
      <c r="C119" s="35" t="s">
        <v>27</v>
      </c>
      <c r="D119" t="s">
        <v>27</v>
      </c>
      <c r="E119" s="35" t="s">
        <v>27</v>
      </c>
      <c r="F119" t="s">
        <v>27</v>
      </c>
      <c r="G119" t="s">
        <v>27</v>
      </c>
      <c r="H119" s="35" t="s">
        <v>27</v>
      </c>
      <c r="I119" t="s">
        <v>27</v>
      </c>
      <c r="J119" t="s">
        <v>27</v>
      </c>
    </row>
    <row r="120" spans="1:10" x14ac:dyDescent="0.2">
      <c r="A120" s="35" t="s">
        <v>27</v>
      </c>
      <c r="B120" t="s">
        <v>27</v>
      </c>
      <c r="C120" s="35" t="s">
        <v>27</v>
      </c>
      <c r="D120" t="s">
        <v>27</v>
      </c>
      <c r="E120" s="35" t="s">
        <v>27</v>
      </c>
      <c r="F120" t="s">
        <v>27</v>
      </c>
      <c r="G120" t="s">
        <v>27</v>
      </c>
      <c r="H120" s="35" t="s">
        <v>27</v>
      </c>
      <c r="I120" t="s">
        <v>27</v>
      </c>
      <c r="J120" t="s">
        <v>27</v>
      </c>
    </row>
    <row r="121" spans="1:10" x14ac:dyDescent="0.2">
      <c r="A121" s="35" t="s">
        <v>27</v>
      </c>
      <c r="B121" t="s">
        <v>27</v>
      </c>
      <c r="C121" s="35" t="s">
        <v>27</v>
      </c>
      <c r="D121" t="s">
        <v>27</v>
      </c>
      <c r="E121" s="35" t="s">
        <v>27</v>
      </c>
      <c r="F121" t="s">
        <v>27</v>
      </c>
      <c r="G121" t="s">
        <v>27</v>
      </c>
      <c r="H121" s="35" t="s">
        <v>27</v>
      </c>
      <c r="I121" t="s">
        <v>27</v>
      </c>
      <c r="J121" t="s">
        <v>27</v>
      </c>
    </row>
    <row r="122" spans="1:10" x14ac:dyDescent="0.2">
      <c r="A122" s="35" t="s">
        <v>27</v>
      </c>
      <c r="B122" t="s">
        <v>27</v>
      </c>
      <c r="C122" s="35" t="s">
        <v>27</v>
      </c>
      <c r="D122" t="s">
        <v>27</v>
      </c>
      <c r="E122" s="35" t="s">
        <v>27</v>
      </c>
      <c r="F122" t="s">
        <v>27</v>
      </c>
      <c r="G122" t="s">
        <v>27</v>
      </c>
      <c r="H122" s="35" t="s">
        <v>27</v>
      </c>
      <c r="I122" t="s">
        <v>27</v>
      </c>
      <c r="J122" t="s">
        <v>27</v>
      </c>
    </row>
    <row r="123" spans="1:10" x14ac:dyDescent="0.2">
      <c r="A123" s="35" t="s">
        <v>27</v>
      </c>
      <c r="B123" t="s">
        <v>27</v>
      </c>
      <c r="C123" s="35" t="s">
        <v>27</v>
      </c>
      <c r="D123" t="s">
        <v>27</v>
      </c>
      <c r="E123" s="35" t="s">
        <v>27</v>
      </c>
      <c r="F123" t="s">
        <v>27</v>
      </c>
      <c r="G123" t="s">
        <v>27</v>
      </c>
      <c r="H123" s="35" t="s">
        <v>27</v>
      </c>
      <c r="I123" t="s">
        <v>27</v>
      </c>
      <c r="J123" t="s">
        <v>27</v>
      </c>
    </row>
    <row r="124" spans="1:10" x14ac:dyDescent="0.2">
      <c r="A124" s="35" t="s">
        <v>27</v>
      </c>
      <c r="B124" t="s">
        <v>27</v>
      </c>
      <c r="C124" s="35" t="s">
        <v>27</v>
      </c>
      <c r="D124" t="s">
        <v>27</v>
      </c>
      <c r="E124" s="35" t="s">
        <v>27</v>
      </c>
      <c r="F124" t="s">
        <v>27</v>
      </c>
      <c r="G124" t="s">
        <v>27</v>
      </c>
      <c r="H124" s="35" t="s">
        <v>27</v>
      </c>
      <c r="I124" t="s">
        <v>27</v>
      </c>
      <c r="J124" t="s">
        <v>27</v>
      </c>
    </row>
    <row r="125" spans="1:10" x14ac:dyDescent="0.2">
      <c r="A125" s="35" t="s">
        <v>27</v>
      </c>
      <c r="B125" t="s">
        <v>27</v>
      </c>
      <c r="C125" s="35" t="s">
        <v>27</v>
      </c>
      <c r="D125" t="s">
        <v>27</v>
      </c>
      <c r="E125" s="35" t="s">
        <v>27</v>
      </c>
      <c r="F125" t="s">
        <v>27</v>
      </c>
      <c r="G125" t="s">
        <v>27</v>
      </c>
      <c r="H125" s="35" t="s">
        <v>27</v>
      </c>
      <c r="I125" t="s">
        <v>27</v>
      </c>
      <c r="J125" t="s">
        <v>27</v>
      </c>
    </row>
    <row r="126" spans="1:10" x14ac:dyDescent="0.2">
      <c r="A126" s="35" t="s">
        <v>27</v>
      </c>
      <c r="B126" t="s">
        <v>27</v>
      </c>
      <c r="C126" s="35" t="s">
        <v>27</v>
      </c>
      <c r="D126" t="s">
        <v>27</v>
      </c>
      <c r="E126" s="35" t="s">
        <v>27</v>
      </c>
      <c r="F126" t="s">
        <v>27</v>
      </c>
      <c r="G126" t="s">
        <v>27</v>
      </c>
      <c r="H126" s="35" t="s">
        <v>27</v>
      </c>
      <c r="I126" t="s">
        <v>27</v>
      </c>
      <c r="J126" t="s">
        <v>27</v>
      </c>
    </row>
    <row r="127" spans="1:10" x14ac:dyDescent="0.2">
      <c r="A127" s="35" t="s">
        <v>27</v>
      </c>
      <c r="B127" t="s">
        <v>27</v>
      </c>
      <c r="C127" s="35" t="s">
        <v>27</v>
      </c>
      <c r="D127" t="s">
        <v>27</v>
      </c>
      <c r="E127" s="35" t="s">
        <v>27</v>
      </c>
      <c r="F127" t="s">
        <v>27</v>
      </c>
      <c r="G127" t="s">
        <v>27</v>
      </c>
      <c r="H127" s="35" t="s">
        <v>27</v>
      </c>
      <c r="I127" t="s">
        <v>27</v>
      </c>
      <c r="J127" t="s">
        <v>27</v>
      </c>
    </row>
    <row r="128" spans="1:10" x14ac:dyDescent="0.2">
      <c r="A128" s="35" t="s">
        <v>27</v>
      </c>
      <c r="B128" t="s">
        <v>27</v>
      </c>
      <c r="C128" s="35" t="s">
        <v>27</v>
      </c>
      <c r="D128" t="s">
        <v>27</v>
      </c>
      <c r="E128" s="35" t="s">
        <v>27</v>
      </c>
      <c r="F128" t="s">
        <v>27</v>
      </c>
      <c r="G128" t="s">
        <v>27</v>
      </c>
      <c r="H128" s="35" t="s">
        <v>27</v>
      </c>
      <c r="I128" t="s">
        <v>27</v>
      </c>
      <c r="J128" t="s">
        <v>27</v>
      </c>
    </row>
    <row r="129" spans="1:10" x14ac:dyDescent="0.2">
      <c r="A129" s="35" t="s">
        <v>27</v>
      </c>
      <c r="B129" t="s">
        <v>27</v>
      </c>
      <c r="C129" s="35" t="s">
        <v>27</v>
      </c>
      <c r="D129" t="s">
        <v>27</v>
      </c>
      <c r="E129" s="35" t="s">
        <v>27</v>
      </c>
      <c r="F129" t="s">
        <v>27</v>
      </c>
      <c r="G129" t="s">
        <v>27</v>
      </c>
      <c r="H129" s="35" t="s">
        <v>27</v>
      </c>
      <c r="I129" t="s">
        <v>27</v>
      </c>
      <c r="J129" t="s">
        <v>27</v>
      </c>
    </row>
    <row r="130" spans="1:10" x14ac:dyDescent="0.2">
      <c r="A130" s="35" t="s">
        <v>27</v>
      </c>
      <c r="B130" t="s">
        <v>27</v>
      </c>
      <c r="C130" s="35" t="s">
        <v>27</v>
      </c>
      <c r="D130" t="s">
        <v>27</v>
      </c>
      <c r="E130" s="35" t="s">
        <v>27</v>
      </c>
      <c r="F130" t="s">
        <v>27</v>
      </c>
      <c r="G130" t="s">
        <v>27</v>
      </c>
      <c r="H130" s="35" t="s">
        <v>27</v>
      </c>
      <c r="I130" t="s">
        <v>27</v>
      </c>
      <c r="J130" t="s">
        <v>27</v>
      </c>
    </row>
    <row r="131" spans="1:10" x14ac:dyDescent="0.2">
      <c r="A131" s="35" t="s">
        <v>27</v>
      </c>
      <c r="B131" t="s">
        <v>27</v>
      </c>
      <c r="C131" s="35" t="s">
        <v>27</v>
      </c>
      <c r="D131" t="s">
        <v>27</v>
      </c>
      <c r="E131" s="35" t="s">
        <v>27</v>
      </c>
      <c r="F131" t="s">
        <v>27</v>
      </c>
      <c r="G131" t="s">
        <v>27</v>
      </c>
      <c r="H131" s="35" t="s">
        <v>27</v>
      </c>
      <c r="I131" t="s">
        <v>27</v>
      </c>
      <c r="J131" t="s">
        <v>27</v>
      </c>
    </row>
    <row r="132" spans="1:10" x14ac:dyDescent="0.2">
      <c r="A132" s="35" t="s">
        <v>27</v>
      </c>
      <c r="B132" t="s">
        <v>27</v>
      </c>
      <c r="C132" s="35" t="s">
        <v>27</v>
      </c>
      <c r="D132" t="s">
        <v>27</v>
      </c>
      <c r="E132" s="35" t="s">
        <v>27</v>
      </c>
      <c r="F132" t="s">
        <v>27</v>
      </c>
      <c r="G132" t="s">
        <v>27</v>
      </c>
      <c r="H132" s="35" t="s">
        <v>27</v>
      </c>
      <c r="I132" t="s">
        <v>27</v>
      </c>
      <c r="J132" t="s">
        <v>27</v>
      </c>
    </row>
    <row r="133" spans="1:10" x14ac:dyDescent="0.2">
      <c r="A133" s="35" t="s">
        <v>27</v>
      </c>
      <c r="B133" t="s">
        <v>27</v>
      </c>
      <c r="C133" s="35" t="s">
        <v>27</v>
      </c>
      <c r="D133" t="s">
        <v>27</v>
      </c>
      <c r="E133" s="35" t="s">
        <v>27</v>
      </c>
      <c r="F133" t="s">
        <v>27</v>
      </c>
      <c r="G133" t="s">
        <v>27</v>
      </c>
      <c r="H133" s="35" t="s">
        <v>27</v>
      </c>
      <c r="I133" t="s">
        <v>27</v>
      </c>
      <c r="J133" t="s">
        <v>27</v>
      </c>
    </row>
    <row r="134" spans="1:10" x14ac:dyDescent="0.2">
      <c r="A134" s="35" t="s">
        <v>27</v>
      </c>
      <c r="B134" t="s">
        <v>27</v>
      </c>
      <c r="C134" s="35" t="s">
        <v>27</v>
      </c>
      <c r="D134" t="s">
        <v>27</v>
      </c>
      <c r="E134" s="35" t="s">
        <v>27</v>
      </c>
      <c r="F134" t="s">
        <v>27</v>
      </c>
      <c r="G134" t="s">
        <v>27</v>
      </c>
      <c r="H134" s="35" t="s">
        <v>27</v>
      </c>
      <c r="I134" t="s">
        <v>27</v>
      </c>
      <c r="J134" t="s">
        <v>27</v>
      </c>
    </row>
    <row r="135" spans="1:10" x14ac:dyDescent="0.2">
      <c r="A135" s="35" t="s">
        <v>27</v>
      </c>
      <c r="B135" t="s">
        <v>27</v>
      </c>
      <c r="C135" s="35" t="s">
        <v>27</v>
      </c>
      <c r="D135" t="s">
        <v>27</v>
      </c>
      <c r="E135" s="35" t="s">
        <v>27</v>
      </c>
      <c r="F135" t="s">
        <v>27</v>
      </c>
      <c r="G135" t="s">
        <v>27</v>
      </c>
      <c r="H135" s="35" t="s">
        <v>27</v>
      </c>
      <c r="I135" t="s">
        <v>27</v>
      </c>
      <c r="J135" t="s">
        <v>27</v>
      </c>
    </row>
    <row r="136" spans="1:10" x14ac:dyDescent="0.2">
      <c r="A136" s="35" t="s">
        <v>27</v>
      </c>
      <c r="B136" t="s">
        <v>27</v>
      </c>
      <c r="C136" s="35" t="s">
        <v>27</v>
      </c>
      <c r="D136" t="s">
        <v>27</v>
      </c>
      <c r="E136" s="35" t="s">
        <v>27</v>
      </c>
      <c r="F136" t="s">
        <v>27</v>
      </c>
      <c r="G136" t="s">
        <v>27</v>
      </c>
      <c r="H136" s="35" t="s">
        <v>27</v>
      </c>
      <c r="I136" t="s">
        <v>27</v>
      </c>
      <c r="J136" t="s">
        <v>27</v>
      </c>
    </row>
    <row r="137" spans="1:10" x14ac:dyDescent="0.2">
      <c r="A137" s="35" t="s">
        <v>27</v>
      </c>
      <c r="B137" t="s">
        <v>27</v>
      </c>
      <c r="C137" s="35" t="s">
        <v>27</v>
      </c>
      <c r="D137" t="s">
        <v>27</v>
      </c>
      <c r="E137" s="35" t="s">
        <v>27</v>
      </c>
      <c r="F137" t="s">
        <v>27</v>
      </c>
      <c r="G137" t="s">
        <v>27</v>
      </c>
      <c r="H137" s="35" t="s">
        <v>27</v>
      </c>
      <c r="I137" t="s">
        <v>27</v>
      </c>
      <c r="J137" t="s">
        <v>27</v>
      </c>
    </row>
    <row r="138" spans="1:10" x14ac:dyDescent="0.2">
      <c r="A138" s="35" t="s">
        <v>27</v>
      </c>
      <c r="B138" t="s">
        <v>27</v>
      </c>
      <c r="C138" s="35" t="s">
        <v>27</v>
      </c>
      <c r="D138" t="s">
        <v>27</v>
      </c>
      <c r="E138" s="35" t="s">
        <v>27</v>
      </c>
      <c r="F138" t="s">
        <v>27</v>
      </c>
      <c r="G138" t="s">
        <v>27</v>
      </c>
      <c r="H138" s="35" t="s">
        <v>27</v>
      </c>
      <c r="I138" t="s">
        <v>27</v>
      </c>
      <c r="J138" t="s">
        <v>27</v>
      </c>
    </row>
    <row r="139" spans="1:10" x14ac:dyDescent="0.2">
      <c r="A139" s="35" t="s">
        <v>27</v>
      </c>
      <c r="B139" t="s">
        <v>27</v>
      </c>
      <c r="C139" s="35" t="s">
        <v>27</v>
      </c>
      <c r="D139" t="s">
        <v>27</v>
      </c>
      <c r="E139" s="35" t="s">
        <v>27</v>
      </c>
      <c r="F139" t="s">
        <v>27</v>
      </c>
      <c r="G139" t="s">
        <v>27</v>
      </c>
      <c r="H139" s="35" t="s">
        <v>27</v>
      </c>
      <c r="I139" t="s">
        <v>27</v>
      </c>
      <c r="J139" t="s">
        <v>27</v>
      </c>
    </row>
    <row r="140" spans="1:10" x14ac:dyDescent="0.2">
      <c r="A140" s="35" t="s">
        <v>27</v>
      </c>
      <c r="B140" t="s">
        <v>27</v>
      </c>
      <c r="C140" s="35" t="s">
        <v>27</v>
      </c>
      <c r="D140" t="s">
        <v>27</v>
      </c>
      <c r="E140" s="35" t="s">
        <v>27</v>
      </c>
      <c r="F140" t="s">
        <v>27</v>
      </c>
      <c r="G140" t="s">
        <v>27</v>
      </c>
      <c r="H140" s="35" t="s">
        <v>27</v>
      </c>
      <c r="I140" t="s">
        <v>27</v>
      </c>
      <c r="J140" t="s">
        <v>27</v>
      </c>
    </row>
    <row r="141" spans="1:10" x14ac:dyDescent="0.2">
      <c r="A141" s="35" t="s">
        <v>27</v>
      </c>
      <c r="B141" t="s">
        <v>27</v>
      </c>
      <c r="C141" s="35" t="s">
        <v>27</v>
      </c>
      <c r="D141" t="s">
        <v>27</v>
      </c>
      <c r="E141" s="35" t="s">
        <v>27</v>
      </c>
      <c r="F141" t="s">
        <v>27</v>
      </c>
      <c r="G141" t="s">
        <v>27</v>
      </c>
      <c r="H141" s="35" t="s">
        <v>27</v>
      </c>
      <c r="I141" t="s">
        <v>27</v>
      </c>
      <c r="J141" t="s">
        <v>27</v>
      </c>
    </row>
    <row r="142" spans="1:10" x14ac:dyDescent="0.2">
      <c r="A142" s="35" t="s">
        <v>27</v>
      </c>
      <c r="B142" t="s">
        <v>27</v>
      </c>
      <c r="C142" s="35" t="s">
        <v>27</v>
      </c>
      <c r="D142" t="s">
        <v>27</v>
      </c>
      <c r="E142" s="35" t="s">
        <v>27</v>
      </c>
      <c r="F142" t="s">
        <v>27</v>
      </c>
      <c r="G142" t="s">
        <v>27</v>
      </c>
      <c r="H142" s="35" t="s">
        <v>27</v>
      </c>
      <c r="I142" t="s">
        <v>27</v>
      </c>
      <c r="J142" t="s">
        <v>27</v>
      </c>
    </row>
    <row r="143" spans="1:10" x14ac:dyDescent="0.2">
      <c r="A143" s="35" t="s">
        <v>27</v>
      </c>
      <c r="B143" t="s">
        <v>27</v>
      </c>
      <c r="C143" s="35" t="s">
        <v>27</v>
      </c>
      <c r="D143" t="s">
        <v>27</v>
      </c>
      <c r="E143" s="35" t="s">
        <v>27</v>
      </c>
      <c r="F143" t="s">
        <v>27</v>
      </c>
      <c r="G143" t="s">
        <v>27</v>
      </c>
      <c r="H143" s="35" t="s">
        <v>27</v>
      </c>
      <c r="I143" t="s">
        <v>27</v>
      </c>
      <c r="J143" t="s">
        <v>27</v>
      </c>
    </row>
    <row r="144" spans="1:10" x14ac:dyDescent="0.2">
      <c r="A144" s="35" t="s">
        <v>27</v>
      </c>
      <c r="B144" t="s">
        <v>27</v>
      </c>
      <c r="C144" s="35" t="s">
        <v>27</v>
      </c>
      <c r="D144" t="s">
        <v>27</v>
      </c>
      <c r="E144" s="35" t="s">
        <v>27</v>
      </c>
      <c r="F144" t="s">
        <v>27</v>
      </c>
      <c r="G144" t="s">
        <v>27</v>
      </c>
      <c r="H144" s="35" t="s">
        <v>27</v>
      </c>
      <c r="I144" t="s">
        <v>27</v>
      </c>
      <c r="J144" t="s">
        <v>27</v>
      </c>
    </row>
    <row r="145" spans="1:10" x14ac:dyDescent="0.2">
      <c r="A145" s="35" t="s">
        <v>27</v>
      </c>
      <c r="B145" t="s">
        <v>27</v>
      </c>
      <c r="C145" s="35" t="s">
        <v>27</v>
      </c>
      <c r="D145" t="s">
        <v>27</v>
      </c>
      <c r="E145" s="35" t="s">
        <v>27</v>
      </c>
      <c r="F145" t="s">
        <v>27</v>
      </c>
      <c r="G145" t="s">
        <v>27</v>
      </c>
      <c r="H145" s="35" t="s">
        <v>27</v>
      </c>
      <c r="I145" t="s">
        <v>27</v>
      </c>
      <c r="J145" t="s">
        <v>27</v>
      </c>
    </row>
    <row r="146" spans="1:10" x14ac:dyDescent="0.2">
      <c r="A146" s="35" t="s">
        <v>27</v>
      </c>
      <c r="B146" t="s">
        <v>27</v>
      </c>
      <c r="C146" s="35" t="s">
        <v>27</v>
      </c>
      <c r="D146" t="s">
        <v>27</v>
      </c>
      <c r="E146" s="35" t="s">
        <v>27</v>
      </c>
      <c r="F146" t="s">
        <v>27</v>
      </c>
      <c r="G146" t="s">
        <v>27</v>
      </c>
      <c r="H146" s="35" t="s">
        <v>27</v>
      </c>
      <c r="I146" t="s">
        <v>27</v>
      </c>
      <c r="J146" t="s">
        <v>27</v>
      </c>
    </row>
    <row r="147" spans="1:10" x14ac:dyDescent="0.2">
      <c r="A147" s="35" t="s">
        <v>27</v>
      </c>
      <c r="B147" t="s">
        <v>27</v>
      </c>
      <c r="C147" s="35" t="s">
        <v>27</v>
      </c>
      <c r="D147" t="s">
        <v>27</v>
      </c>
      <c r="E147" s="35" t="s">
        <v>27</v>
      </c>
      <c r="F147" t="s">
        <v>27</v>
      </c>
      <c r="G147" t="s">
        <v>27</v>
      </c>
      <c r="H147" s="35" t="s">
        <v>27</v>
      </c>
      <c r="I147" t="s">
        <v>27</v>
      </c>
      <c r="J147" t="s">
        <v>27</v>
      </c>
    </row>
    <row r="148" spans="1:10" x14ac:dyDescent="0.2">
      <c r="A148" s="35" t="s">
        <v>27</v>
      </c>
      <c r="B148" t="s">
        <v>27</v>
      </c>
      <c r="C148" s="35" t="s">
        <v>27</v>
      </c>
      <c r="D148" t="s">
        <v>27</v>
      </c>
      <c r="E148" s="35" t="s">
        <v>27</v>
      </c>
      <c r="F148" t="s">
        <v>27</v>
      </c>
      <c r="G148" t="s">
        <v>27</v>
      </c>
      <c r="H148" s="35" t="s">
        <v>27</v>
      </c>
      <c r="I148" t="s">
        <v>27</v>
      </c>
      <c r="J148" t="s">
        <v>27</v>
      </c>
    </row>
    <row r="149" spans="1:10" x14ac:dyDescent="0.2">
      <c r="A149" s="35" t="s">
        <v>27</v>
      </c>
      <c r="B149" t="s">
        <v>27</v>
      </c>
      <c r="C149" s="35" t="s">
        <v>27</v>
      </c>
      <c r="D149" t="s">
        <v>27</v>
      </c>
      <c r="E149" s="35" t="s">
        <v>27</v>
      </c>
      <c r="F149" t="s">
        <v>27</v>
      </c>
      <c r="G149" t="s">
        <v>27</v>
      </c>
      <c r="H149" s="35" t="s">
        <v>27</v>
      </c>
      <c r="I149" t="s">
        <v>27</v>
      </c>
      <c r="J149" t="s">
        <v>27</v>
      </c>
    </row>
    <row r="150" spans="1:10" x14ac:dyDescent="0.2">
      <c r="A150" s="35" t="s">
        <v>27</v>
      </c>
      <c r="B150" t="s">
        <v>27</v>
      </c>
      <c r="C150" s="35" t="s">
        <v>27</v>
      </c>
      <c r="D150" t="s">
        <v>27</v>
      </c>
      <c r="E150" s="35" t="s">
        <v>27</v>
      </c>
      <c r="F150" t="s">
        <v>27</v>
      </c>
      <c r="G150" t="s">
        <v>27</v>
      </c>
      <c r="H150" s="35" t="s">
        <v>27</v>
      </c>
      <c r="I150" t="s">
        <v>27</v>
      </c>
      <c r="J150" t="s">
        <v>27</v>
      </c>
    </row>
    <row r="151" spans="1:10" x14ac:dyDescent="0.2">
      <c r="A151" s="35" t="s">
        <v>27</v>
      </c>
      <c r="B151" t="s">
        <v>27</v>
      </c>
      <c r="C151" s="35" t="s">
        <v>27</v>
      </c>
      <c r="D151" t="s">
        <v>27</v>
      </c>
      <c r="E151" s="35" t="s">
        <v>27</v>
      </c>
      <c r="F151" t="s">
        <v>27</v>
      </c>
      <c r="G151" t="s">
        <v>27</v>
      </c>
      <c r="H151" s="35" t="s">
        <v>27</v>
      </c>
      <c r="I151" t="s">
        <v>27</v>
      </c>
      <c r="J151" t="s">
        <v>27</v>
      </c>
    </row>
    <row r="152" spans="1:10" x14ac:dyDescent="0.2">
      <c r="A152" s="35" t="s">
        <v>27</v>
      </c>
      <c r="B152" t="s">
        <v>27</v>
      </c>
      <c r="C152" s="35" t="s">
        <v>27</v>
      </c>
      <c r="D152" t="s">
        <v>27</v>
      </c>
      <c r="E152" s="35" t="s">
        <v>27</v>
      </c>
      <c r="F152" t="s">
        <v>27</v>
      </c>
      <c r="G152" t="s">
        <v>27</v>
      </c>
      <c r="H152" s="35" t="s">
        <v>27</v>
      </c>
      <c r="I152" t="s">
        <v>27</v>
      </c>
      <c r="J152" t="s">
        <v>27</v>
      </c>
    </row>
    <row r="153" spans="1:10" x14ac:dyDescent="0.2">
      <c r="A153" s="35" t="s">
        <v>27</v>
      </c>
      <c r="B153" t="s">
        <v>27</v>
      </c>
      <c r="C153" s="35" t="s">
        <v>27</v>
      </c>
      <c r="D153" t="s">
        <v>27</v>
      </c>
      <c r="E153" s="35" t="s">
        <v>27</v>
      </c>
      <c r="F153" t="s">
        <v>27</v>
      </c>
      <c r="G153" t="s">
        <v>27</v>
      </c>
      <c r="H153" s="35" t="s">
        <v>27</v>
      </c>
      <c r="I153" t="s">
        <v>27</v>
      </c>
      <c r="J153" t="s">
        <v>27</v>
      </c>
    </row>
    <row r="154" spans="1:10" x14ac:dyDescent="0.2">
      <c r="A154" s="35" t="s">
        <v>27</v>
      </c>
      <c r="B154" t="s">
        <v>27</v>
      </c>
      <c r="C154" s="35" t="s">
        <v>27</v>
      </c>
      <c r="D154" t="s">
        <v>27</v>
      </c>
      <c r="E154" s="35" t="s">
        <v>27</v>
      </c>
      <c r="F154" t="s">
        <v>27</v>
      </c>
      <c r="G154" t="s">
        <v>27</v>
      </c>
      <c r="H154" s="35" t="s">
        <v>27</v>
      </c>
      <c r="I154" t="s">
        <v>27</v>
      </c>
      <c r="J154" t="s">
        <v>27</v>
      </c>
    </row>
    <row r="155" spans="1:10" x14ac:dyDescent="0.2">
      <c r="A155" s="35" t="s">
        <v>27</v>
      </c>
      <c r="B155" t="s">
        <v>27</v>
      </c>
      <c r="C155" s="35" t="s">
        <v>27</v>
      </c>
      <c r="D155" t="s">
        <v>27</v>
      </c>
      <c r="E155" s="35" t="s">
        <v>27</v>
      </c>
      <c r="F155" t="s">
        <v>27</v>
      </c>
      <c r="G155" t="s">
        <v>27</v>
      </c>
      <c r="H155" s="35" t="s">
        <v>27</v>
      </c>
      <c r="I155" t="s">
        <v>27</v>
      </c>
      <c r="J155" t="s">
        <v>27</v>
      </c>
    </row>
    <row r="156" spans="1:10" x14ac:dyDescent="0.2">
      <c r="A156" s="35" t="s">
        <v>27</v>
      </c>
      <c r="B156" t="s">
        <v>27</v>
      </c>
      <c r="C156" s="35" t="s">
        <v>27</v>
      </c>
      <c r="D156" t="s">
        <v>27</v>
      </c>
      <c r="E156" s="35" t="s">
        <v>27</v>
      </c>
      <c r="F156" t="s">
        <v>27</v>
      </c>
      <c r="G156" t="s">
        <v>27</v>
      </c>
      <c r="H156" s="35" t="s">
        <v>27</v>
      </c>
      <c r="I156" t="s">
        <v>27</v>
      </c>
      <c r="J156" t="s">
        <v>27</v>
      </c>
    </row>
    <row r="157" spans="1:10" x14ac:dyDescent="0.2">
      <c r="A157" s="35" t="s">
        <v>27</v>
      </c>
      <c r="B157" t="s">
        <v>27</v>
      </c>
      <c r="C157" s="35" t="s">
        <v>27</v>
      </c>
      <c r="D157" t="s">
        <v>27</v>
      </c>
      <c r="E157" s="35" t="s">
        <v>27</v>
      </c>
      <c r="F157" t="s">
        <v>27</v>
      </c>
      <c r="G157" t="s">
        <v>27</v>
      </c>
      <c r="H157" s="35" t="s">
        <v>27</v>
      </c>
      <c r="I157" t="s">
        <v>27</v>
      </c>
      <c r="J157" t="s">
        <v>27</v>
      </c>
    </row>
    <row r="158" spans="1:10" x14ac:dyDescent="0.2">
      <c r="A158" s="35" t="s">
        <v>27</v>
      </c>
      <c r="B158" t="s">
        <v>27</v>
      </c>
      <c r="C158" s="35" t="s">
        <v>27</v>
      </c>
      <c r="D158" t="s">
        <v>27</v>
      </c>
      <c r="E158" s="35" t="s">
        <v>27</v>
      </c>
      <c r="F158" t="s">
        <v>27</v>
      </c>
      <c r="G158" t="s">
        <v>27</v>
      </c>
      <c r="H158" s="35" t="s">
        <v>27</v>
      </c>
      <c r="I158" t="s">
        <v>27</v>
      </c>
      <c r="J158" t="s">
        <v>27</v>
      </c>
    </row>
    <row r="159" spans="1:10" x14ac:dyDescent="0.2">
      <c r="A159" s="35" t="s">
        <v>27</v>
      </c>
      <c r="B159" t="s">
        <v>27</v>
      </c>
      <c r="C159" s="35" t="s">
        <v>27</v>
      </c>
      <c r="D159" t="s">
        <v>27</v>
      </c>
      <c r="E159" s="35" t="s">
        <v>27</v>
      </c>
      <c r="F159" t="s">
        <v>27</v>
      </c>
      <c r="G159" t="s">
        <v>27</v>
      </c>
      <c r="H159" s="35" t="s">
        <v>27</v>
      </c>
      <c r="I159" t="s">
        <v>27</v>
      </c>
      <c r="J159" t="s">
        <v>27</v>
      </c>
    </row>
    <row r="160" spans="1:10" x14ac:dyDescent="0.2">
      <c r="A160" s="35" t="s">
        <v>27</v>
      </c>
      <c r="B160" t="s">
        <v>27</v>
      </c>
      <c r="C160" s="35" t="s">
        <v>27</v>
      </c>
      <c r="D160" t="s">
        <v>27</v>
      </c>
      <c r="E160" s="35" t="s">
        <v>27</v>
      </c>
      <c r="F160" t="s">
        <v>27</v>
      </c>
      <c r="G160" t="s">
        <v>27</v>
      </c>
      <c r="H160" s="35" t="s">
        <v>27</v>
      </c>
      <c r="I160" t="s">
        <v>27</v>
      </c>
      <c r="J160" t="s">
        <v>27</v>
      </c>
    </row>
    <row r="161" spans="1:10" x14ac:dyDescent="0.2">
      <c r="A161" s="35" t="s">
        <v>27</v>
      </c>
      <c r="B161" t="s">
        <v>27</v>
      </c>
      <c r="C161" s="35" t="s">
        <v>27</v>
      </c>
      <c r="D161" t="s">
        <v>27</v>
      </c>
      <c r="E161" s="35" t="s">
        <v>27</v>
      </c>
      <c r="F161" t="s">
        <v>27</v>
      </c>
      <c r="G161" t="s">
        <v>27</v>
      </c>
      <c r="H161" s="35" t="s">
        <v>27</v>
      </c>
      <c r="I161" t="s">
        <v>27</v>
      </c>
      <c r="J161" t="s">
        <v>27</v>
      </c>
    </row>
    <row r="162" spans="1:10" x14ac:dyDescent="0.2">
      <c r="A162" s="35" t="s">
        <v>27</v>
      </c>
      <c r="B162" t="s">
        <v>27</v>
      </c>
      <c r="C162" s="35" t="s">
        <v>27</v>
      </c>
      <c r="D162" t="s">
        <v>27</v>
      </c>
      <c r="E162" s="35" t="s">
        <v>27</v>
      </c>
      <c r="F162" t="s">
        <v>27</v>
      </c>
      <c r="G162" t="s">
        <v>27</v>
      </c>
      <c r="H162" s="35" t="s">
        <v>27</v>
      </c>
      <c r="I162" t="s">
        <v>27</v>
      </c>
      <c r="J162" t="s">
        <v>27</v>
      </c>
    </row>
    <row r="163" spans="1:10" x14ac:dyDescent="0.2">
      <c r="A163" s="35" t="s">
        <v>27</v>
      </c>
      <c r="B163" t="s">
        <v>27</v>
      </c>
      <c r="C163" s="35" t="s">
        <v>27</v>
      </c>
      <c r="D163" t="s">
        <v>27</v>
      </c>
      <c r="E163" s="35" t="s">
        <v>27</v>
      </c>
      <c r="F163" t="s">
        <v>27</v>
      </c>
      <c r="G163" t="s">
        <v>27</v>
      </c>
      <c r="H163" s="35" t="s">
        <v>27</v>
      </c>
      <c r="I163" t="s">
        <v>27</v>
      </c>
      <c r="J163" t="s">
        <v>27</v>
      </c>
    </row>
    <row r="164" spans="1:10" x14ac:dyDescent="0.2">
      <c r="A164" s="35" t="s">
        <v>27</v>
      </c>
      <c r="B164" t="s">
        <v>27</v>
      </c>
      <c r="C164" s="35" t="s">
        <v>27</v>
      </c>
      <c r="D164" t="s">
        <v>27</v>
      </c>
      <c r="E164" s="35" t="s">
        <v>27</v>
      </c>
      <c r="F164" t="s">
        <v>27</v>
      </c>
      <c r="G164" t="s">
        <v>27</v>
      </c>
      <c r="H164" s="35" t="s">
        <v>27</v>
      </c>
      <c r="I164" t="s">
        <v>27</v>
      </c>
      <c r="J164" t="s">
        <v>27</v>
      </c>
    </row>
    <row r="165" spans="1:10" x14ac:dyDescent="0.2">
      <c r="A165" s="35" t="s">
        <v>27</v>
      </c>
      <c r="B165" t="s">
        <v>27</v>
      </c>
      <c r="C165" s="35" t="s">
        <v>27</v>
      </c>
      <c r="D165" t="s">
        <v>27</v>
      </c>
      <c r="E165" s="35" t="s">
        <v>27</v>
      </c>
      <c r="F165" t="s">
        <v>27</v>
      </c>
      <c r="G165" t="s">
        <v>27</v>
      </c>
      <c r="H165" s="35" t="s">
        <v>27</v>
      </c>
      <c r="I165" t="s">
        <v>27</v>
      </c>
      <c r="J165" t="s">
        <v>27</v>
      </c>
    </row>
    <row r="166" spans="1:10" x14ac:dyDescent="0.2">
      <c r="A166" s="35" t="s">
        <v>27</v>
      </c>
      <c r="B166" t="s">
        <v>27</v>
      </c>
      <c r="C166" s="35" t="s">
        <v>27</v>
      </c>
      <c r="D166" t="s">
        <v>27</v>
      </c>
      <c r="E166" s="35" t="s">
        <v>27</v>
      </c>
      <c r="F166" t="s">
        <v>27</v>
      </c>
      <c r="G166" t="s">
        <v>27</v>
      </c>
      <c r="H166" s="35" t="s">
        <v>27</v>
      </c>
      <c r="I166" t="s">
        <v>27</v>
      </c>
      <c r="J166" t="s">
        <v>27</v>
      </c>
    </row>
    <row r="167" spans="1:10" x14ac:dyDescent="0.2">
      <c r="A167" s="35" t="s">
        <v>27</v>
      </c>
      <c r="B167" t="s">
        <v>27</v>
      </c>
      <c r="C167" s="35" t="s">
        <v>27</v>
      </c>
      <c r="D167" t="s">
        <v>27</v>
      </c>
      <c r="E167" s="35" t="s">
        <v>27</v>
      </c>
      <c r="F167" t="s">
        <v>27</v>
      </c>
      <c r="G167" t="s">
        <v>27</v>
      </c>
      <c r="H167" s="35" t="s">
        <v>27</v>
      </c>
      <c r="I167" t="s">
        <v>27</v>
      </c>
      <c r="J167" t="s">
        <v>27</v>
      </c>
    </row>
    <row r="168" spans="1:10" x14ac:dyDescent="0.2">
      <c r="A168" s="35" t="s">
        <v>27</v>
      </c>
      <c r="B168" t="s">
        <v>27</v>
      </c>
      <c r="C168" s="35" t="s">
        <v>27</v>
      </c>
      <c r="D168" t="s">
        <v>27</v>
      </c>
      <c r="E168" s="35" t="s">
        <v>27</v>
      </c>
      <c r="F168" t="s">
        <v>27</v>
      </c>
      <c r="G168" t="s">
        <v>27</v>
      </c>
      <c r="H168" s="35" t="s">
        <v>27</v>
      </c>
      <c r="I168" t="s">
        <v>27</v>
      </c>
      <c r="J168" t="s">
        <v>27</v>
      </c>
    </row>
    <row r="169" spans="1:10" x14ac:dyDescent="0.2">
      <c r="A169" s="35" t="s">
        <v>27</v>
      </c>
      <c r="B169" t="s">
        <v>27</v>
      </c>
      <c r="C169" s="35" t="s">
        <v>27</v>
      </c>
      <c r="D169" t="s">
        <v>27</v>
      </c>
      <c r="E169" s="35" t="s">
        <v>27</v>
      </c>
      <c r="F169" t="s">
        <v>27</v>
      </c>
      <c r="G169" t="s">
        <v>27</v>
      </c>
      <c r="H169" s="35" t="s">
        <v>27</v>
      </c>
      <c r="I169" t="s">
        <v>27</v>
      </c>
      <c r="J169" t="s">
        <v>27</v>
      </c>
    </row>
    <row r="170" spans="1:10" x14ac:dyDescent="0.2">
      <c r="A170" s="35" t="s">
        <v>27</v>
      </c>
      <c r="B170" t="s">
        <v>27</v>
      </c>
      <c r="C170" s="35" t="s">
        <v>27</v>
      </c>
      <c r="D170" t="s">
        <v>27</v>
      </c>
      <c r="E170" s="35" t="s">
        <v>27</v>
      </c>
      <c r="F170" t="s">
        <v>27</v>
      </c>
      <c r="G170" t="s">
        <v>27</v>
      </c>
      <c r="H170" s="35" t="s">
        <v>27</v>
      </c>
      <c r="I170" t="s">
        <v>27</v>
      </c>
      <c r="J170" t="s">
        <v>27</v>
      </c>
    </row>
    <row r="171" spans="1:10" x14ac:dyDescent="0.2">
      <c r="A171" s="35" t="s">
        <v>27</v>
      </c>
      <c r="B171" t="s">
        <v>27</v>
      </c>
      <c r="C171" s="35" t="s">
        <v>27</v>
      </c>
      <c r="D171" t="s">
        <v>27</v>
      </c>
      <c r="E171" s="35" t="s">
        <v>27</v>
      </c>
      <c r="F171" t="s">
        <v>27</v>
      </c>
      <c r="G171" t="s">
        <v>27</v>
      </c>
      <c r="H171" s="35" t="s">
        <v>27</v>
      </c>
      <c r="I171" t="s">
        <v>27</v>
      </c>
      <c r="J171" t="s">
        <v>27</v>
      </c>
    </row>
    <row r="172" spans="1:10" x14ac:dyDescent="0.2">
      <c r="A172" s="35" t="s">
        <v>27</v>
      </c>
      <c r="B172" t="s">
        <v>27</v>
      </c>
      <c r="C172" s="35" t="s">
        <v>27</v>
      </c>
      <c r="D172" t="s">
        <v>27</v>
      </c>
      <c r="E172" s="35" t="s">
        <v>27</v>
      </c>
      <c r="F172" t="s">
        <v>27</v>
      </c>
      <c r="G172" t="s">
        <v>27</v>
      </c>
      <c r="H172" s="35" t="s">
        <v>27</v>
      </c>
      <c r="I172" t="s">
        <v>27</v>
      </c>
      <c r="J172" t="s">
        <v>27</v>
      </c>
    </row>
    <row r="173" spans="1:10" x14ac:dyDescent="0.2">
      <c r="A173" s="35" t="s">
        <v>27</v>
      </c>
      <c r="B173" t="s">
        <v>27</v>
      </c>
      <c r="C173" s="35" t="s">
        <v>27</v>
      </c>
      <c r="D173" t="s">
        <v>27</v>
      </c>
      <c r="E173" s="35" t="s">
        <v>27</v>
      </c>
      <c r="F173" t="s">
        <v>27</v>
      </c>
      <c r="G173" t="s">
        <v>27</v>
      </c>
      <c r="H173" s="35" t="s">
        <v>27</v>
      </c>
      <c r="I173" t="s">
        <v>27</v>
      </c>
      <c r="J173" t="s">
        <v>27</v>
      </c>
    </row>
    <row r="174" spans="1:10" x14ac:dyDescent="0.2">
      <c r="A174" s="35" t="s">
        <v>27</v>
      </c>
      <c r="B174" t="s">
        <v>27</v>
      </c>
      <c r="C174" s="35" t="s">
        <v>27</v>
      </c>
      <c r="D174" t="s">
        <v>27</v>
      </c>
      <c r="E174" s="35" t="s">
        <v>27</v>
      </c>
      <c r="F174" t="s">
        <v>27</v>
      </c>
      <c r="G174" t="s">
        <v>27</v>
      </c>
      <c r="H174" s="35" t="s">
        <v>27</v>
      </c>
      <c r="I174" t="s">
        <v>27</v>
      </c>
      <c r="J174" t="s">
        <v>27</v>
      </c>
    </row>
    <row r="175" spans="1:10" x14ac:dyDescent="0.2">
      <c r="A175" s="35" t="s">
        <v>27</v>
      </c>
      <c r="B175" t="s">
        <v>27</v>
      </c>
      <c r="C175" s="35" t="s">
        <v>27</v>
      </c>
      <c r="D175" t="s">
        <v>27</v>
      </c>
      <c r="E175" s="35" t="s">
        <v>27</v>
      </c>
      <c r="F175" t="s">
        <v>27</v>
      </c>
      <c r="G175" t="s">
        <v>27</v>
      </c>
      <c r="H175" s="35" t="s">
        <v>27</v>
      </c>
      <c r="I175" t="s">
        <v>27</v>
      </c>
      <c r="J175" t="s">
        <v>27</v>
      </c>
    </row>
    <row r="176" spans="1:10" x14ac:dyDescent="0.2">
      <c r="A176" s="35" t="s">
        <v>27</v>
      </c>
      <c r="B176" t="s">
        <v>27</v>
      </c>
      <c r="C176" s="35" t="s">
        <v>27</v>
      </c>
      <c r="D176" t="s">
        <v>27</v>
      </c>
      <c r="E176" s="35" t="s">
        <v>27</v>
      </c>
      <c r="F176" t="s">
        <v>27</v>
      </c>
      <c r="G176" t="s">
        <v>27</v>
      </c>
      <c r="H176" s="35" t="s">
        <v>27</v>
      </c>
      <c r="I176" t="s">
        <v>27</v>
      </c>
      <c r="J176" t="s">
        <v>27</v>
      </c>
    </row>
    <row r="177" spans="1:10" x14ac:dyDescent="0.2">
      <c r="A177" s="35" t="s">
        <v>27</v>
      </c>
      <c r="B177" t="s">
        <v>27</v>
      </c>
      <c r="C177" s="35" t="s">
        <v>27</v>
      </c>
      <c r="D177" t="s">
        <v>27</v>
      </c>
      <c r="E177" s="35" t="s">
        <v>27</v>
      </c>
      <c r="F177" t="s">
        <v>27</v>
      </c>
      <c r="G177" t="s">
        <v>27</v>
      </c>
      <c r="H177" s="35" t="s">
        <v>27</v>
      </c>
      <c r="I177" t="s">
        <v>27</v>
      </c>
      <c r="J177" t="s">
        <v>27</v>
      </c>
    </row>
    <row r="178" spans="1:10" x14ac:dyDescent="0.2">
      <c r="A178" s="35" t="s">
        <v>27</v>
      </c>
      <c r="B178" t="s">
        <v>27</v>
      </c>
      <c r="C178" s="35" t="s">
        <v>27</v>
      </c>
      <c r="D178" t="s">
        <v>27</v>
      </c>
      <c r="E178" s="35" t="s">
        <v>27</v>
      </c>
      <c r="F178" t="s">
        <v>27</v>
      </c>
      <c r="G178" t="s">
        <v>27</v>
      </c>
      <c r="H178" s="35" t="s">
        <v>27</v>
      </c>
      <c r="I178" t="s">
        <v>27</v>
      </c>
      <c r="J178" t="s">
        <v>27</v>
      </c>
    </row>
    <row r="179" spans="1:10" x14ac:dyDescent="0.2">
      <c r="A179" s="35" t="s">
        <v>27</v>
      </c>
      <c r="B179" t="s">
        <v>27</v>
      </c>
      <c r="C179" s="35" t="s">
        <v>27</v>
      </c>
      <c r="D179" t="s">
        <v>27</v>
      </c>
      <c r="E179" s="35" t="s">
        <v>27</v>
      </c>
      <c r="F179" t="s">
        <v>27</v>
      </c>
      <c r="G179" t="s">
        <v>27</v>
      </c>
      <c r="H179" s="35" t="s">
        <v>27</v>
      </c>
      <c r="I179" t="s">
        <v>27</v>
      </c>
      <c r="J179" t="s">
        <v>27</v>
      </c>
    </row>
    <row r="180" spans="1:10" x14ac:dyDescent="0.2">
      <c r="A180" s="35" t="s">
        <v>27</v>
      </c>
      <c r="B180" t="s">
        <v>27</v>
      </c>
      <c r="C180" s="35" t="s">
        <v>27</v>
      </c>
      <c r="D180" t="s">
        <v>27</v>
      </c>
      <c r="E180" s="35" t="s">
        <v>27</v>
      </c>
      <c r="F180" t="s">
        <v>27</v>
      </c>
      <c r="G180" t="s">
        <v>27</v>
      </c>
      <c r="H180" s="35" t="s">
        <v>27</v>
      </c>
      <c r="I180" t="s">
        <v>27</v>
      </c>
      <c r="J180" t="s">
        <v>27</v>
      </c>
    </row>
    <row r="181" spans="1:10" x14ac:dyDescent="0.2">
      <c r="A181" s="35" t="s">
        <v>27</v>
      </c>
      <c r="B181" t="s">
        <v>27</v>
      </c>
      <c r="C181" s="35" t="s">
        <v>27</v>
      </c>
      <c r="D181" t="s">
        <v>27</v>
      </c>
      <c r="E181" s="35" t="s">
        <v>27</v>
      </c>
      <c r="F181" t="s">
        <v>27</v>
      </c>
      <c r="G181" t="s">
        <v>27</v>
      </c>
      <c r="H181" s="35" t="s">
        <v>27</v>
      </c>
      <c r="I181" t="s">
        <v>27</v>
      </c>
      <c r="J181" t="s">
        <v>27</v>
      </c>
    </row>
    <row r="182" spans="1:10" x14ac:dyDescent="0.2">
      <c r="A182" s="35" t="s">
        <v>27</v>
      </c>
      <c r="B182" t="s">
        <v>27</v>
      </c>
      <c r="C182" s="35" t="s">
        <v>27</v>
      </c>
      <c r="D182" t="s">
        <v>27</v>
      </c>
      <c r="E182" s="35" t="s">
        <v>27</v>
      </c>
      <c r="F182" t="s">
        <v>27</v>
      </c>
      <c r="G182" t="s">
        <v>27</v>
      </c>
      <c r="H182" s="35" t="s">
        <v>27</v>
      </c>
      <c r="I182" t="s">
        <v>27</v>
      </c>
      <c r="J182" t="s">
        <v>27</v>
      </c>
    </row>
    <row r="183" spans="1:10" x14ac:dyDescent="0.2">
      <c r="A183" s="35" t="s">
        <v>27</v>
      </c>
      <c r="B183" t="s">
        <v>27</v>
      </c>
      <c r="C183" s="35" t="s">
        <v>27</v>
      </c>
      <c r="D183" t="s">
        <v>27</v>
      </c>
      <c r="E183" s="35" t="s">
        <v>27</v>
      </c>
      <c r="F183" t="s">
        <v>27</v>
      </c>
      <c r="G183" t="s">
        <v>27</v>
      </c>
      <c r="H183" s="35" t="s">
        <v>27</v>
      </c>
      <c r="I183" t="s">
        <v>27</v>
      </c>
      <c r="J183" t="s">
        <v>27</v>
      </c>
    </row>
    <row r="184" spans="1:10" x14ac:dyDescent="0.2">
      <c r="A184" s="35" t="s">
        <v>27</v>
      </c>
      <c r="B184" t="s">
        <v>27</v>
      </c>
      <c r="C184" s="35" t="s">
        <v>27</v>
      </c>
      <c r="D184" t="s">
        <v>27</v>
      </c>
      <c r="E184" s="35" t="s">
        <v>27</v>
      </c>
      <c r="F184" t="s">
        <v>27</v>
      </c>
      <c r="G184" t="s">
        <v>27</v>
      </c>
      <c r="H184" s="35" t="s">
        <v>27</v>
      </c>
      <c r="I184" t="s">
        <v>27</v>
      </c>
      <c r="J184" t="s">
        <v>27</v>
      </c>
    </row>
    <row r="185" spans="1:10" x14ac:dyDescent="0.2">
      <c r="A185" s="35" t="s">
        <v>27</v>
      </c>
      <c r="B185" t="s">
        <v>27</v>
      </c>
      <c r="C185" s="35" t="s">
        <v>27</v>
      </c>
      <c r="D185" t="s">
        <v>27</v>
      </c>
      <c r="E185" s="35" t="s">
        <v>27</v>
      </c>
      <c r="F185" t="s">
        <v>27</v>
      </c>
      <c r="G185" t="s">
        <v>27</v>
      </c>
      <c r="H185" s="35" t="s">
        <v>27</v>
      </c>
      <c r="I185" t="s">
        <v>27</v>
      </c>
      <c r="J185" t="s">
        <v>27</v>
      </c>
    </row>
    <row r="186" spans="1:10" x14ac:dyDescent="0.2">
      <c r="A186" s="35" t="s">
        <v>27</v>
      </c>
      <c r="B186" t="s">
        <v>27</v>
      </c>
      <c r="C186" s="35" t="s">
        <v>27</v>
      </c>
      <c r="D186" t="s">
        <v>27</v>
      </c>
      <c r="E186" s="35" t="s">
        <v>27</v>
      </c>
      <c r="F186" t="s">
        <v>27</v>
      </c>
      <c r="G186" t="s">
        <v>27</v>
      </c>
      <c r="H186" s="35" t="s">
        <v>27</v>
      </c>
      <c r="I186" t="s">
        <v>27</v>
      </c>
      <c r="J186" t="s">
        <v>27</v>
      </c>
    </row>
    <row r="187" spans="1:10" x14ac:dyDescent="0.2">
      <c r="A187" s="35" t="s">
        <v>27</v>
      </c>
      <c r="B187" t="s">
        <v>27</v>
      </c>
      <c r="C187" s="35" t="s">
        <v>27</v>
      </c>
      <c r="D187" t="s">
        <v>27</v>
      </c>
      <c r="E187" s="35" t="s">
        <v>27</v>
      </c>
      <c r="F187" t="s">
        <v>27</v>
      </c>
      <c r="G187" t="s">
        <v>27</v>
      </c>
      <c r="H187" s="35" t="s">
        <v>27</v>
      </c>
      <c r="I187" t="s">
        <v>27</v>
      </c>
      <c r="J187" t="s">
        <v>27</v>
      </c>
    </row>
    <row r="188" spans="1:10" x14ac:dyDescent="0.2">
      <c r="A188" s="35" t="s">
        <v>27</v>
      </c>
      <c r="B188" t="s">
        <v>27</v>
      </c>
      <c r="C188" s="35" t="s">
        <v>27</v>
      </c>
      <c r="D188" t="s">
        <v>27</v>
      </c>
      <c r="E188" s="35" t="s">
        <v>27</v>
      </c>
      <c r="F188" t="s">
        <v>27</v>
      </c>
      <c r="G188" t="s">
        <v>27</v>
      </c>
      <c r="H188" s="35" t="s">
        <v>27</v>
      </c>
      <c r="I188" t="s">
        <v>27</v>
      </c>
      <c r="J188" t="s">
        <v>27</v>
      </c>
    </row>
    <row r="189" spans="1:10" x14ac:dyDescent="0.2">
      <c r="A189" s="35" t="s">
        <v>27</v>
      </c>
      <c r="B189" t="s">
        <v>27</v>
      </c>
      <c r="C189" s="35" t="s">
        <v>27</v>
      </c>
      <c r="D189" t="s">
        <v>27</v>
      </c>
      <c r="E189" s="35" t="s">
        <v>27</v>
      </c>
      <c r="F189" t="s">
        <v>27</v>
      </c>
      <c r="G189" t="s">
        <v>27</v>
      </c>
      <c r="H189" s="35" t="s">
        <v>27</v>
      </c>
      <c r="I189" t="s">
        <v>27</v>
      </c>
      <c r="J189" t="s">
        <v>27</v>
      </c>
    </row>
    <row r="190" spans="1:10" x14ac:dyDescent="0.2">
      <c r="A190" s="35" t="s">
        <v>27</v>
      </c>
      <c r="B190" t="s">
        <v>27</v>
      </c>
      <c r="C190" s="35" t="s">
        <v>27</v>
      </c>
      <c r="D190" t="s">
        <v>27</v>
      </c>
      <c r="E190" s="35" t="s">
        <v>27</v>
      </c>
      <c r="F190" t="s">
        <v>27</v>
      </c>
      <c r="G190" t="s">
        <v>27</v>
      </c>
      <c r="H190" s="35" t="s">
        <v>27</v>
      </c>
      <c r="I190" t="s">
        <v>27</v>
      </c>
      <c r="J190" t="s">
        <v>27</v>
      </c>
    </row>
    <row r="191" spans="1:10" x14ac:dyDescent="0.2">
      <c r="A191" s="35" t="s">
        <v>27</v>
      </c>
      <c r="B191" t="s">
        <v>27</v>
      </c>
      <c r="C191" s="35" t="s">
        <v>27</v>
      </c>
      <c r="D191" t="s">
        <v>27</v>
      </c>
      <c r="E191" s="35" t="s">
        <v>27</v>
      </c>
      <c r="F191" t="s">
        <v>27</v>
      </c>
      <c r="G191" t="s">
        <v>27</v>
      </c>
      <c r="H191" s="35" t="s">
        <v>27</v>
      </c>
      <c r="I191" t="s">
        <v>27</v>
      </c>
      <c r="J191" t="s">
        <v>27</v>
      </c>
    </row>
    <row r="192" spans="1:10" x14ac:dyDescent="0.2">
      <c r="A192" s="35" t="s">
        <v>27</v>
      </c>
      <c r="B192" t="s">
        <v>27</v>
      </c>
      <c r="C192" s="35" t="s">
        <v>27</v>
      </c>
      <c r="D192" t="s">
        <v>27</v>
      </c>
      <c r="E192" s="35" t="s">
        <v>27</v>
      </c>
      <c r="F192" t="s">
        <v>27</v>
      </c>
      <c r="G192" t="s">
        <v>27</v>
      </c>
      <c r="H192" s="35" t="s">
        <v>27</v>
      </c>
      <c r="I192" t="s">
        <v>27</v>
      </c>
      <c r="J192" t="s">
        <v>27</v>
      </c>
    </row>
    <row r="193" spans="1:10" x14ac:dyDescent="0.2">
      <c r="A193" s="35" t="s">
        <v>27</v>
      </c>
      <c r="B193" t="s">
        <v>27</v>
      </c>
      <c r="C193" s="35" t="s">
        <v>27</v>
      </c>
      <c r="D193" t="s">
        <v>27</v>
      </c>
      <c r="E193" s="35" t="s">
        <v>27</v>
      </c>
      <c r="F193" t="s">
        <v>27</v>
      </c>
      <c r="G193" t="s">
        <v>27</v>
      </c>
      <c r="H193" s="35" t="s">
        <v>27</v>
      </c>
      <c r="I193" t="s">
        <v>27</v>
      </c>
      <c r="J193" t="s">
        <v>27</v>
      </c>
    </row>
    <row r="194" spans="1:10" x14ac:dyDescent="0.2">
      <c r="A194" s="35" t="s">
        <v>27</v>
      </c>
      <c r="B194" t="s">
        <v>27</v>
      </c>
      <c r="C194" s="35" t="s">
        <v>27</v>
      </c>
      <c r="D194" t="s">
        <v>27</v>
      </c>
      <c r="E194" s="35" t="s">
        <v>27</v>
      </c>
      <c r="F194" t="s">
        <v>27</v>
      </c>
      <c r="G194" t="s">
        <v>27</v>
      </c>
      <c r="H194" s="35" t="s">
        <v>27</v>
      </c>
      <c r="I194" t="s">
        <v>27</v>
      </c>
      <c r="J194" t="s">
        <v>27</v>
      </c>
    </row>
    <row r="195" spans="1:10" x14ac:dyDescent="0.2">
      <c r="A195" s="35" t="s">
        <v>27</v>
      </c>
      <c r="B195" t="s">
        <v>27</v>
      </c>
      <c r="C195" s="35" t="s">
        <v>27</v>
      </c>
      <c r="D195" t="s">
        <v>27</v>
      </c>
      <c r="E195" s="35" t="s">
        <v>27</v>
      </c>
      <c r="F195" t="s">
        <v>27</v>
      </c>
      <c r="G195" t="s">
        <v>27</v>
      </c>
      <c r="H195" s="35" t="s">
        <v>27</v>
      </c>
      <c r="I195" t="s">
        <v>27</v>
      </c>
      <c r="J195" t="s">
        <v>27</v>
      </c>
    </row>
    <row r="196" spans="1:10" x14ac:dyDescent="0.2">
      <c r="A196" s="35" t="s">
        <v>27</v>
      </c>
      <c r="B196" t="s">
        <v>27</v>
      </c>
      <c r="C196" s="35" t="s">
        <v>27</v>
      </c>
      <c r="D196" t="s">
        <v>27</v>
      </c>
      <c r="E196" s="35" t="s">
        <v>27</v>
      </c>
      <c r="F196" t="s">
        <v>27</v>
      </c>
      <c r="G196" t="s">
        <v>27</v>
      </c>
      <c r="H196" s="35" t="s">
        <v>27</v>
      </c>
      <c r="I196" t="s">
        <v>27</v>
      </c>
      <c r="J196" t="s">
        <v>27</v>
      </c>
    </row>
    <row r="197" spans="1:10" x14ac:dyDescent="0.2">
      <c r="A197" s="35" t="s">
        <v>27</v>
      </c>
      <c r="B197" t="s">
        <v>27</v>
      </c>
      <c r="C197" s="35" t="s">
        <v>27</v>
      </c>
      <c r="D197" t="s">
        <v>27</v>
      </c>
      <c r="E197" s="35" t="s">
        <v>27</v>
      </c>
      <c r="F197" t="s">
        <v>27</v>
      </c>
      <c r="G197" t="s">
        <v>27</v>
      </c>
      <c r="H197" s="35" t="s">
        <v>27</v>
      </c>
      <c r="I197" t="s">
        <v>27</v>
      </c>
      <c r="J197" t="s">
        <v>27</v>
      </c>
    </row>
    <row r="198" spans="1:10" x14ac:dyDescent="0.2">
      <c r="A198" s="35" t="s">
        <v>27</v>
      </c>
      <c r="B198" t="s">
        <v>27</v>
      </c>
      <c r="C198" s="35" t="s">
        <v>27</v>
      </c>
      <c r="D198" t="s">
        <v>27</v>
      </c>
      <c r="E198" s="35" t="s">
        <v>27</v>
      </c>
      <c r="F198" t="s">
        <v>27</v>
      </c>
      <c r="G198" t="s">
        <v>27</v>
      </c>
      <c r="H198" s="35" t="s">
        <v>27</v>
      </c>
      <c r="I198" t="s">
        <v>27</v>
      </c>
      <c r="J198" t="s">
        <v>27</v>
      </c>
    </row>
    <row r="199" spans="1:10" x14ac:dyDescent="0.2">
      <c r="A199" s="35" t="s">
        <v>27</v>
      </c>
      <c r="B199" t="s">
        <v>27</v>
      </c>
      <c r="C199" s="35" t="s">
        <v>27</v>
      </c>
      <c r="D199" t="s">
        <v>27</v>
      </c>
      <c r="E199" s="35" t="s">
        <v>27</v>
      </c>
      <c r="F199" t="s">
        <v>27</v>
      </c>
      <c r="G199" t="s">
        <v>27</v>
      </c>
      <c r="H199" s="35" t="s">
        <v>27</v>
      </c>
      <c r="I199" t="s">
        <v>27</v>
      </c>
      <c r="J199" t="s">
        <v>27</v>
      </c>
    </row>
    <row r="200" spans="1:10" x14ac:dyDescent="0.2">
      <c r="A200" s="35" t="s">
        <v>27</v>
      </c>
      <c r="B200" t="s">
        <v>27</v>
      </c>
      <c r="C200" s="35" t="s">
        <v>27</v>
      </c>
      <c r="D200" t="s">
        <v>27</v>
      </c>
      <c r="E200" s="35" t="s">
        <v>27</v>
      </c>
      <c r="F200" t="s">
        <v>27</v>
      </c>
      <c r="G200" t="s">
        <v>27</v>
      </c>
      <c r="H200" s="35" t="s">
        <v>27</v>
      </c>
      <c r="I200" t="s">
        <v>27</v>
      </c>
      <c r="J200" t="s">
        <v>27</v>
      </c>
    </row>
    <row r="201" spans="1:10" x14ac:dyDescent="0.2">
      <c r="A201" s="35" t="s">
        <v>27</v>
      </c>
      <c r="B201" t="s">
        <v>27</v>
      </c>
      <c r="C201" s="35" t="s">
        <v>27</v>
      </c>
      <c r="D201" t="s">
        <v>27</v>
      </c>
      <c r="E201" s="35" t="s">
        <v>27</v>
      </c>
      <c r="F201" t="s">
        <v>27</v>
      </c>
      <c r="G201" t="s">
        <v>27</v>
      </c>
      <c r="H201" s="35" t="s">
        <v>27</v>
      </c>
      <c r="I201" t="s">
        <v>27</v>
      </c>
      <c r="J201" t="s">
        <v>27</v>
      </c>
    </row>
    <row r="202" spans="1:10" x14ac:dyDescent="0.2">
      <c r="A202" s="35" t="s">
        <v>27</v>
      </c>
      <c r="B202" t="s">
        <v>27</v>
      </c>
      <c r="C202" s="35" t="s">
        <v>27</v>
      </c>
      <c r="D202" t="s">
        <v>27</v>
      </c>
      <c r="E202" s="35" t="s">
        <v>27</v>
      </c>
      <c r="F202" t="s">
        <v>27</v>
      </c>
      <c r="G202" t="s">
        <v>27</v>
      </c>
      <c r="H202" s="35" t="s">
        <v>27</v>
      </c>
      <c r="I202" t="s">
        <v>27</v>
      </c>
      <c r="J202" t="s">
        <v>27</v>
      </c>
    </row>
    <row r="203" spans="1:10" x14ac:dyDescent="0.2">
      <c r="A203" s="35" t="s">
        <v>27</v>
      </c>
      <c r="B203" t="s">
        <v>27</v>
      </c>
      <c r="C203" s="35" t="s">
        <v>27</v>
      </c>
      <c r="D203" t="s">
        <v>27</v>
      </c>
      <c r="E203" s="35" t="s">
        <v>27</v>
      </c>
      <c r="F203" t="s">
        <v>27</v>
      </c>
      <c r="G203" t="s">
        <v>27</v>
      </c>
      <c r="H203" s="35" t="s">
        <v>27</v>
      </c>
      <c r="I203" t="s">
        <v>27</v>
      </c>
      <c r="J203" t="s">
        <v>27</v>
      </c>
    </row>
    <row r="204" spans="1:10" x14ac:dyDescent="0.2">
      <c r="A204" s="35" t="s">
        <v>27</v>
      </c>
      <c r="B204" t="s">
        <v>27</v>
      </c>
      <c r="C204" s="35" t="s">
        <v>27</v>
      </c>
      <c r="D204" t="s">
        <v>27</v>
      </c>
      <c r="E204" s="35" t="s">
        <v>27</v>
      </c>
      <c r="F204" t="s">
        <v>27</v>
      </c>
      <c r="G204" t="s">
        <v>27</v>
      </c>
      <c r="H204" s="35" t="s">
        <v>27</v>
      </c>
      <c r="I204" t="s">
        <v>27</v>
      </c>
      <c r="J204" t="s">
        <v>27</v>
      </c>
    </row>
    <row r="205" spans="1:10" x14ac:dyDescent="0.2">
      <c r="A205" s="35" t="s">
        <v>27</v>
      </c>
      <c r="B205" t="s">
        <v>27</v>
      </c>
      <c r="C205" s="35" t="s">
        <v>27</v>
      </c>
      <c r="D205" t="s">
        <v>27</v>
      </c>
      <c r="E205" s="35" t="s">
        <v>27</v>
      </c>
      <c r="F205" t="s">
        <v>27</v>
      </c>
      <c r="G205" t="s">
        <v>27</v>
      </c>
      <c r="H205" s="35" t="s">
        <v>27</v>
      </c>
      <c r="I205" t="s">
        <v>27</v>
      </c>
      <c r="J205" t="s">
        <v>27</v>
      </c>
    </row>
    <row r="206" spans="1:10" x14ac:dyDescent="0.2">
      <c r="A206" s="35" t="s">
        <v>27</v>
      </c>
      <c r="B206" t="s">
        <v>27</v>
      </c>
      <c r="C206" s="35" t="s">
        <v>27</v>
      </c>
      <c r="D206" t="s">
        <v>27</v>
      </c>
      <c r="E206" s="35" t="s">
        <v>27</v>
      </c>
      <c r="F206" t="s">
        <v>27</v>
      </c>
      <c r="G206" t="s">
        <v>27</v>
      </c>
      <c r="H206" s="35" t="s">
        <v>27</v>
      </c>
      <c r="I206" t="s">
        <v>27</v>
      </c>
      <c r="J206" t="s">
        <v>27</v>
      </c>
    </row>
    <row r="207" spans="1:10" x14ac:dyDescent="0.2">
      <c r="A207" s="35" t="s">
        <v>27</v>
      </c>
      <c r="B207" t="s">
        <v>27</v>
      </c>
      <c r="C207" s="35" t="s">
        <v>27</v>
      </c>
      <c r="D207" t="s">
        <v>27</v>
      </c>
      <c r="E207" s="35" t="s">
        <v>27</v>
      </c>
      <c r="F207" t="s">
        <v>27</v>
      </c>
      <c r="G207" t="s">
        <v>27</v>
      </c>
      <c r="H207" s="35" t="s">
        <v>27</v>
      </c>
      <c r="I207" t="s">
        <v>27</v>
      </c>
      <c r="J207" t="s">
        <v>27</v>
      </c>
    </row>
    <row r="208" spans="1:10" x14ac:dyDescent="0.2">
      <c r="A208" s="35" t="s">
        <v>27</v>
      </c>
      <c r="B208" t="s">
        <v>27</v>
      </c>
      <c r="C208" s="35" t="s">
        <v>27</v>
      </c>
      <c r="D208" t="s">
        <v>27</v>
      </c>
      <c r="E208" s="35" t="s">
        <v>27</v>
      </c>
      <c r="F208" t="s">
        <v>27</v>
      </c>
      <c r="G208" t="s">
        <v>27</v>
      </c>
      <c r="H208" s="35" t="s">
        <v>27</v>
      </c>
      <c r="I208" t="s">
        <v>27</v>
      </c>
      <c r="J208" t="s">
        <v>27</v>
      </c>
    </row>
    <row r="209" spans="1:10" x14ac:dyDescent="0.2">
      <c r="A209" s="35" t="s">
        <v>27</v>
      </c>
      <c r="B209" t="s">
        <v>27</v>
      </c>
      <c r="C209" s="35" t="s">
        <v>27</v>
      </c>
      <c r="D209" t="s">
        <v>27</v>
      </c>
      <c r="E209" s="35" t="s">
        <v>27</v>
      </c>
      <c r="F209" t="s">
        <v>27</v>
      </c>
      <c r="G209" t="s">
        <v>27</v>
      </c>
      <c r="H209" s="35" t="s">
        <v>27</v>
      </c>
      <c r="I209" t="s">
        <v>27</v>
      </c>
      <c r="J209" t="s">
        <v>27</v>
      </c>
    </row>
    <row r="210" spans="1:10" x14ac:dyDescent="0.2">
      <c r="A210" s="35" t="s">
        <v>27</v>
      </c>
      <c r="B210" t="s">
        <v>27</v>
      </c>
      <c r="C210" s="35" t="s">
        <v>27</v>
      </c>
      <c r="D210" t="s">
        <v>27</v>
      </c>
      <c r="E210" s="35" t="s">
        <v>27</v>
      </c>
      <c r="F210" t="s">
        <v>27</v>
      </c>
      <c r="G210" t="s">
        <v>27</v>
      </c>
      <c r="H210" s="35" t="s">
        <v>27</v>
      </c>
      <c r="I210" t="s">
        <v>27</v>
      </c>
      <c r="J210" t="s">
        <v>27</v>
      </c>
    </row>
    <row r="211" spans="1:10" x14ac:dyDescent="0.2">
      <c r="A211" s="35" t="s">
        <v>27</v>
      </c>
      <c r="B211" t="s">
        <v>27</v>
      </c>
      <c r="C211" s="35" t="s">
        <v>27</v>
      </c>
      <c r="D211" t="s">
        <v>27</v>
      </c>
      <c r="E211" s="35" t="s">
        <v>27</v>
      </c>
      <c r="F211" t="s">
        <v>27</v>
      </c>
      <c r="G211" t="s">
        <v>27</v>
      </c>
      <c r="H211" s="35" t="s">
        <v>27</v>
      </c>
      <c r="I211" t="s">
        <v>27</v>
      </c>
      <c r="J211" t="s">
        <v>27</v>
      </c>
    </row>
    <row r="212" spans="1:10" x14ac:dyDescent="0.2">
      <c r="A212" s="35" t="s">
        <v>27</v>
      </c>
      <c r="B212" t="s">
        <v>27</v>
      </c>
      <c r="C212" s="35" t="s">
        <v>27</v>
      </c>
      <c r="D212" t="s">
        <v>27</v>
      </c>
      <c r="E212" s="35" t="s">
        <v>27</v>
      </c>
      <c r="F212" t="s">
        <v>27</v>
      </c>
      <c r="G212" t="s">
        <v>27</v>
      </c>
      <c r="H212" s="35" t="s">
        <v>27</v>
      </c>
      <c r="I212" t="s">
        <v>27</v>
      </c>
      <c r="J212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L115"/>
  <sheetViews>
    <sheetView zoomScaleNormal="100" workbookViewId="0">
      <selection activeCell="F12" sqref="F12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44299</v>
      </c>
      <c r="D1" s="61"/>
      <c r="E1" s="5"/>
      <c r="F1" s="6"/>
      <c r="G1" s="36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28"/>
      <c r="E2" s="28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28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28"/>
      <c r="E4" s="28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28"/>
      <c r="C5" t="s">
        <v>18</v>
      </c>
      <c r="D5" s="28"/>
      <c r="E5" s="28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>
        <f>Ktmp!D8</f>
        <v>0</v>
      </c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1" ht="25.5" x14ac:dyDescent="0.2">
      <c r="A9" s="16">
        <v>2</v>
      </c>
      <c r="B9" s="38" t="str">
        <f>Ktmp!B9</f>
        <v>24-1843-7450</v>
      </c>
      <c r="C9" s="38">
        <f>Ktmp!C9</f>
        <v>1912837</v>
      </c>
      <c r="D9" s="34">
        <f>Ktmp!D9</f>
        <v>0</v>
      </c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>IF(Ktmp!J9="Экспресс",IF(I9&gt;=20,CONCATENATE("Груз-",Ktmp!J9),CONCATENATE("Почта-",Ktmp!J9)),Ktmp!J9)</f>
        <v>Груз-Экспресс</v>
      </c>
      <c r="K9" s="1"/>
    </row>
    <row r="10" spans="1:11" x14ac:dyDescent="0.2">
      <c r="A10" s="16">
        <v>3</v>
      </c>
      <c r="B10" s="38" t="str">
        <f>Ktmp!B10</f>
        <v/>
      </c>
      <c r="C10" s="38" t="str">
        <f>Ktmp!C10</f>
        <v/>
      </c>
      <c r="D10" s="34" t="str">
        <f>Ktmp!D10</f>
        <v/>
      </c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>IF(Ktmp!J10="Экспресс",IF(I10&gt;=20,CONCATENATE("Груз-",Ktmp!J10),CONCATENATE("Почта-",Ktmp!J10)),Ktmp!J10)</f>
        <v/>
      </c>
      <c r="K10" s="1"/>
    </row>
    <row r="11" spans="1:11" x14ac:dyDescent="0.2">
      <c r="A11" s="16">
        <v>4</v>
      </c>
      <c r="B11" s="38" t="str">
        <f>Ktmp!B11</f>
        <v/>
      </c>
      <c r="C11" s="38" t="str">
        <f>Ktmp!C11</f>
        <v/>
      </c>
      <c r="D11" s="34" t="str">
        <f>Ktmp!D11</f>
        <v/>
      </c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>IF(Ktmp!J11="Экспресс",IF(I11&gt;=20,CONCATENATE("Груз-",Ktmp!J11),CONCATENATE("Почта-",Ktmp!J11)),Ktmp!J11)</f>
        <v/>
      </c>
      <c r="K11" s="1"/>
    </row>
    <row r="12" spans="1:11" x14ac:dyDescent="0.2">
      <c r="A12" s="16">
        <v>5</v>
      </c>
      <c r="B12" s="38" t="str">
        <f>Ktmp!B12</f>
        <v/>
      </c>
      <c r="C12" s="38" t="str">
        <f>Ktmp!C12</f>
        <v/>
      </c>
      <c r="D12" s="34" t="str">
        <f>Ktmp!D12</f>
        <v/>
      </c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>IF(Ktmp!J12="Экспресс",IF(I12&gt;=20,CONCATENATE("Груз-",Ktmp!J12),CONCATENATE("Почта-",Ktmp!J12)),Ktmp!J12)</f>
        <v/>
      </c>
      <c r="K12" s="1"/>
    </row>
    <row r="13" spans="1:11" x14ac:dyDescent="0.2">
      <c r="A13" s="16">
        <v>6</v>
      </c>
      <c r="B13" s="38" t="str">
        <f>Ktmp!B13</f>
        <v/>
      </c>
      <c r="C13" s="38" t="str">
        <f>Ktmp!C13</f>
        <v/>
      </c>
      <c r="D13" s="34" t="str">
        <f>Ktmp!D13</f>
        <v/>
      </c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>IF(Ktmp!J13="Экспресс",IF(I13&gt;=20,CONCATENATE("Груз-",Ktmp!J13),CONCATENATE("Почта-",Ktmp!J13)),Ktmp!J13)</f>
        <v/>
      </c>
      <c r="K13" s="1"/>
    </row>
    <row r="14" spans="1:11" x14ac:dyDescent="0.2">
      <c r="A14" s="16">
        <v>7</v>
      </c>
      <c r="B14" s="38" t="str">
        <f>Ktmp!B14</f>
        <v/>
      </c>
      <c r="C14" s="38" t="str">
        <f>Ktmp!C14</f>
        <v/>
      </c>
      <c r="D14" s="34" t="str">
        <f>Ktmp!D14</f>
        <v/>
      </c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>IF(Ktmp!J14="Экспресс",IF(I14&gt;=20,CONCATENATE("Груз-",Ktmp!J14),CONCATENATE("Почта-",Ktmp!J14)),Ktmp!J14)</f>
        <v/>
      </c>
      <c r="K14" s="1"/>
    </row>
    <row r="15" spans="1:11" x14ac:dyDescent="0.2">
      <c r="A15" s="16">
        <v>8</v>
      </c>
      <c r="B15" s="38" t="str">
        <f>Ktmp!B15</f>
        <v/>
      </c>
      <c r="C15" s="38" t="str">
        <f>Ktmp!C15</f>
        <v/>
      </c>
      <c r="D15" s="34" t="str">
        <f>Ktmp!D15</f>
        <v/>
      </c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>IF(Ktmp!J15="Экспресс",IF(I15&gt;=20,CONCATENATE("Груз-",Ktmp!J15),CONCATENATE("Почта-",Ktmp!J15)),Ktmp!J15)</f>
        <v/>
      </c>
      <c r="K15" s="1"/>
    </row>
    <row r="16" spans="1:11" x14ac:dyDescent="0.2">
      <c r="A16" s="16">
        <v>9</v>
      </c>
      <c r="B16" s="38" t="str">
        <f>Ktmp!B16</f>
        <v/>
      </c>
      <c r="C16" s="38" t="str">
        <f>Ktmp!C16</f>
        <v/>
      </c>
      <c r="D16" s="34" t="str">
        <f>Ktmp!D16</f>
        <v/>
      </c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>IF(Ktmp!J16="Экспресс",IF(I16&gt;=20,CONCATENATE("Груз-",Ktmp!J16),CONCATENATE("Почта-",Ktmp!J16)),Ktmp!J16)</f>
        <v/>
      </c>
      <c r="K16" s="1"/>
    </row>
    <row r="17" spans="1:11" x14ac:dyDescent="0.2">
      <c r="A17" s="16">
        <v>10</v>
      </c>
      <c r="B17" s="38" t="str">
        <f>Ktmp!B17</f>
        <v/>
      </c>
      <c r="C17" s="38" t="str">
        <f>Ktmp!C17</f>
        <v/>
      </c>
      <c r="D17" s="34" t="str">
        <f>Ktmp!D17</f>
        <v/>
      </c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>IF(Ktmp!J17="Экспресс",IF(I17&gt;=20,CONCATENATE("Груз-",Ktmp!J17),CONCATENATE("Почта-",Ktmp!J17)),Ktmp!J17)</f>
        <v/>
      </c>
      <c r="K17" s="1"/>
    </row>
    <row r="18" spans="1:11" x14ac:dyDescent="0.2">
      <c r="A18" s="16">
        <v>11</v>
      </c>
      <c r="B18" s="38" t="str">
        <f>Ktmp!B18</f>
        <v/>
      </c>
      <c r="C18" s="38" t="str">
        <f>Ktmp!C18</f>
        <v/>
      </c>
      <c r="D18" s="34" t="str">
        <f>Ktmp!D18</f>
        <v/>
      </c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>IF(Ktmp!J18="Экспресс",IF(I18&gt;=20,CONCATENATE("Груз-",Ktmp!J18),CONCATENATE("Почта-",Ktmp!J18)),Ktmp!J18)</f>
        <v/>
      </c>
      <c r="K18" s="1"/>
    </row>
    <row r="19" spans="1:11" x14ac:dyDescent="0.2">
      <c r="A19" s="16">
        <v>12</v>
      </c>
      <c r="B19" s="38" t="str">
        <f>Ktmp!B19</f>
        <v/>
      </c>
      <c r="C19" s="38" t="str">
        <f>Ktmp!C19</f>
        <v/>
      </c>
      <c r="D19" s="34" t="str">
        <f>Ktmp!D19</f>
        <v/>
      </c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>IF(Ktmp!J19="Экспресс",IF(I19&gt;=20,CONCATENATE("Груз-",Ktmp!J19),CONCATENATE("Почта-",Ktmp!J19)),Ktmp!J19)</f>
        <v/>
      </c>
      <c r="K19" s="1"/>
    </row>
    <row r="20" spans="1:11" x14ac:dyDescent="0.2">
      <c r="A20" s="16">
        <v>13</v>
      </c>
      <c r="B20" s="38" t="str">
        <f>Ktmp!B20</f>
        <v/>
      </c>
      <c r="C20" s="38" t="str">
        <f>Ktmp!C20</f>
        <v/>
      </c>
      <c r="D20" s="34" t="str">
        <f>Ktmp!D20</f>
        <v/>
      </c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>IF(Ktmp!J20="Экспресс",IF(I20&gt;=20,CONCATENATE("Груз-",Ktmp!J20),CONCATENATE("Почта-",Ktmp!J20)),Ktmp!J20)</f>
        <v/>
      </c>
      <c r="K20" s="1"/>
    </row>
    <row r="21" spans="1:11" x14ac:dyDescent="0.2">
      <c r="A21" s="16">
        <v>14</v>
      </c>
      <c r="B21" s="38" t="str">
        <f>Ktmp!B21</f>
        <v/>
      </c>
      <c r="C21" s="38" t="str">
        <f>Ktmp!C21</f>
        <v/>
      </c>
      <c r="D21" s="34" t="str">
        <f>Ktmp!D21</f>
        <v/>
      </c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>IF(Ktmp!J21="Экспресс",IF(I21&gt;=20,CONCATENATE("Груз-",Ktmp!J21),CONCATENATE("Почта-",Ktmp!J21)),Ktmp!J21)</f>
        <v/>
      </c>
      <c r="K21" s="1"/>
    </row>
    <row r="22" spans="1:11" x14ac:dyDescent="0.2">
      <c r="A22" s="16">
        <v>15</v>
      </c>
      <c r="B22" s="38" t="str">
        <f>Ktmp!B22</f>
        <v/>
      </c>
      <c r="C22" s="38" t="str">
        <f>Ktmp!C22</f>
        <v/>
      </c>
      <c r="D22" s="34" t="str">
        <f>Ktmp!D22</f>
        <v/>
      </c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>IF(Ktmp!J22="Экспресс",IF(I22&gt;=20,CONCATENATE("Груз-",Ktmp!J22),CONCATENATE("Почта-",Ktmp!J22)),Ktmp!J22)</f>
        <v/>
      </c>
      <c r="K22" s="1"/>
    </row>
    <row r="23" spans="1:11" x14ac:dyDescent="0.2">
      <c r="A23" s="16">
        <v>16</v>
      </c>
      <c r="B23" s="38" t="str">
        <f>Ktmp!B23</f>
        <v/>
      </c>
      <c r="C23" s="38" t="str">
        <f>Ktmp!C23</f>
        <v/>
      </c>
      <c r="D23" s="34" t="str">
        <f>Ktmp!D23</f>
        <v/>
      </c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>IF(Ktmp!J23="Экспресс",IF(I23&gt;=20,CONCATENATE("Груз-",Ktmp!J23),CONCATENATE("Почта-",Ktmp!J23)),Ktmp!J23)</f>
        <v/>
      </c>
      <c r="K23" s="1"/>
    </row>
    <row r="24" spans="1:11" x14ac:dyDescent="0.2">
      <c r="A24" s="16">
        <v>17</v>
      </c>
      <c r="B24" s="38" t="str">
        <f>Ktmp!B24</f>
        <v/>
      </c>
      <c r="C24" s="38" t="str">
        <f>Ktmp!C24</f>
        <v/>
      </c>
      <c r="D24" s="34" t="str">
        <f>Ktmp!D24</f>
        <v/>
      </c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>IF(Ktmp!J24="Экспресс",IF(I24&gt;=20,CONCATENATE("Груз-",Ktmp!J24),CONCATENATE("Почта-",Ktmp!J24)),Ktmp!J24)</f>
        <v/>
      </c>
      <c r="K24" s="1"/>
    </row>
    <row r="25" spans="1:11" x14ac:dyDescent="0.2">
      <c r="A25" s="16">
        <v>18</v>
      </c>
      <c r="B25" s="38" t="str">
        <f>Ktmp!B25</f>
        <v/>
      </c>
      <c r="C25" s="38" t="str">
        <f>Ktmp!C25</f>
        <v/>
      </c>
      <c r="D25" s="34" t="str">
        <f>Ktmp!D25</f>
        <v/>
      </c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>IF(Ktmp!J25="Экспресс",IF(I25&gt;=20,CONCATENATE("Груз-",Ktmp!J25),CONCATENATE("Почта-",Ktmp!J25)),Ktmp!J25)</f>
        <v/>
      </c>
      <c r="K25" s="1"/>
    </row>
    <row r="26" spans="1:11" x14ac:dyDescent="0.2">
      <c r="A26" s="16">
        <v>19</v>
      </c>
      <c r="B26" s="38" t="str">
        <f>Ktmp!B26</f>
        <v/>
      </c>
      <c r="C26" s="38" t="str">
        <f>Ktmp!C26</f>
        <v/>
      </c>
      <c r="D26" s="34" t="str">
        <f>Ktmp!D26</f>
        <v/>
      </c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>IF(Ktmp!J26="Экспресс",IF(I26&gt;=20,CONCATENATE("Груз-",Ktmp!J26),CONCATENATE("Почта-",Ktmp!J26)),Ktmp!J26)</f>
        <v/>
      </c>
      <c r="K26" s="1"/>
    </row>
    <row r="27" spans="1:11" x14ac:dyDescent="0.2">
      <c r="A27" s="16">
        <v>20</v>
      </c>
      <c r="B27" s="38" t="str">
        <f>Ktmp!B27</f>
        <v/>
      </c>
      <c r="C27" s="38" t="str">
        <f>Ktmp!C27</f>
        <v/>
      </c>
      <c r="D27" s="34" t="str">
        <f>Ktmp!D27</f>
        <v/>
      </c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>IF(Ktmp!J27="Экспресс",IF(I27&gt;=20,CONCATENATE("Груз-",Ktmp!J27),CONCATENATE("Почта-",Ktmp!J27)),Ktmp!J27)</f>
        <v/>
      </c>
      <c r="K27" s="1"/>
    </row>
    <row r="28" spans="1:11" x14ac:dyDescent="0.2">
      <c r="A28" s="16">
        <v>21</v>
      </c>
      <c r="B28" s="38" t="str">
        <f>Ktmp!B28</f>
        <v/>
      </c>
      <c r="C28" s="38" t="str">
        <f>Ktmp!C28</f>
        <v/>
      </c>
      <c r="D28" s="34" t="str">
        <f>Ktmp!D28</f>
        <v/>
      </c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>IF(Ktmp!J28="Экспресс",IF(I28&gt;=20,CONCATENATE("Груз-",Ktmp!J28),CONCATENATE("Почта-",Ktmp!J28)),Ktmp!J28)</f>
        <v/>
      </c>
      <c r="K28" s="1"/>
    </row>
    <row r="29" spans="1:11" x14ac:dyDescent="0.2">
      <c r="A29" s="16">
        <v>22</v>
      </c>
      <c r="B29" s="38" t="str">
        <f>Ktmp!B29</f>
        <v/>
      </c>
      <c r="C29" s="38" t="str">
        <f>Ktmp!C29</f>
        <v/>
      </c>
      <c r="D29" s="34" t="str">
        <f>Ktmp!D29</f>
        <v/>
      </c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>IF(Ktmp!J29="Экспресс",IF(I29&gt;=20,CONCATENATE("Груз-",Ktmp!J29),CONCATENATE("Почта-",Ktmp!J29)),Ktmp!J29)</f>
        <v/>
      </c>
      <c r="K29" s="1"/>
    </row>
    <row r="30" spans="1:11" x14ac:dyDescent="0.2">
      <c r="A30" s="16">
        <v>23</v>
      </c>
      <c r="B30" s="38" t="str">
        <f>Ktmp!B30</f>
        <v/>
      </c>
      <c r="C30" s="38" t="str">
        <f>Ktmp!C30</f>
        <v/>
      </c>
      <c r="D30" s="34" t="str">
        <f>Ktmp!D30</f>
        <v/>
      </c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>IF(Ktmp!J30="Экспресс",IF(I30&gt;=20,CONCATENATE("Груз-",Ktmp!J30),CONCATENATE("Почта-",Ktmp!J30)),Ktmp!J30)</f>
        <v/>
      </c>
      <c r="K30" s="1"/>
    </row>
    <row r="31" spans="1:11" x14ac:dyDescent="0.2">
      <c r="A31" s="16">
        <v>24</v>
      </c>
      <c r="B31" s="38" t="str">
        <f>Ktmp!B31</f>
        <v/>
      </c>
      <c r="C31" s="38" t="str">
        <f>Ktmp!C31</f>
        <v/>
      </c>
      <c r="D31" s="34" t="str">
        <f>Ktmp!D31</f>
        <v/>
      </c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>IF(Ktmp!J31="Экспресс",IF(I31&gt;=20,CONCATENATE("Груз-",Ktmp!J31),CONCATENATE("Почта-",Ktmp!J31)),Ktmp!J31)</f>
        <v/>
      </c>
      <c r="K31" s="1"/>
    </row>
    <row r="32" spans="1:11" x14ac:dyDescent="0.2">
      <c r="A32" s="16">
        <v>25</v>
      </c>
      <c r="B32" s="38" t="str">
        <f>Ktmp!B32</f>
        <v/>
      </c>
      <c r="C32" s="38" t="str">
        <f>Ktmp!C32</f>
        <v/>
      </c>
      <c r="D32" s="34" t="str">
        <f>Ktmp!D32</f>
        <v/>
      </c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>IF(Ktmp!J32="Экспресс",IF(I32&gt;=20,CONCATENATE("Груз-",Ktmp!J32),CONCATENATE("Почта-",Ktmp!J32)),Ktmp!J32)</f>
        <v/>
      </c>
      <c r="K32" s="1"/>
    </row>
    <row r="33" spans="1:11" x14ac:dyDescent="0.2">
      <c r="A33" s="16">
        <v>26</v>
      </c>
      <c r="B33" s="38" t="str">
        <f>Ktmp!B33</f>
        <v/>
      </c>
      <c r="C33" s="38" t="str">
        <f>Ktmp!C33</f>
        <v/>
      </c>
      <c r="D33" s="34" t="str">
        <f>Ktmp!D33</f>
        <v/>
      </c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>IF(Ktmp!J33="Экспресс",IF(I33&gt;=20,CONCATENATE("Груз-",Ktmp!J33),CONCATENATE("Почта-",Ktmp!J33)),Ktmp!J33)</f>
        <v/>
      </c>
      <c r="K33" s="1"/>
    </row>
    <row r="34" spans="1:11" x14ac:dyDescent="0.2">
      <c r="A34" s="16">
        <v>27</v>
      </c>
      <c r="B34" s="38" t="str">
        <f>Ktmp!B34</f>
        <v/>
      </c>
      <c r="C34" s="38" t="str">
        <f>Ktmp!C34</f>
        <v/>
      </c>
      <c r="D34" s="34" t="str">
        <f>Ktmp!D34</f>
        <v/>
      </c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>IF(Ktmp!J34="Экспресс",IF(I34&gt;=20,CONCATENATE("Груз-",Ktmp!J34),CONCATENATE("Почта-",Ktmp!J34)),Ktmp!J34)</f>
        <v/>
      </c>
      <c r="K34" s="1"/>
    </row>
    <row r="35" spans="1:11" x14ac:dyDescent="0.2">
      <c r="A35" s="16">
        <v>28</v>
      </c>
      <c r="B35" s="38" t="str">
        <f>Ktmp!B35</f>
        <v/>
      </c>
      <c r="C35" s="38" t="str">
        <f>Ktmp!C35</f>
        <v/>
      </c>
      <c r="D35" s="34" t="str">
        <f>Ktmp!D35</f>
        <v/>
      </c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>IF(Ktmp!J35="Экспресс",IF(I35&gt;=20,CONCATENATE("Груз-",Ktmp!J35),CONCATENATE("Почта-",Ktmp!J35)),Ktmp!J35)</f>
        <v/>
      </c>
      <c r="K35" s="1"/>
    </row>
    <row r="36" spans="1:11" x14ac:dyDescent="0.2">
      <c r="A36" s="16">
        <v>29</v>
      </c>
      <c r="B36" s="38" t="str">
        <f>Ktmp!B36</f>
        <v/>
      </c>
      <c r="C36" s="38" t="str">
        <f>Ktmp!C36</f>
        <v/>
      </c>
      <c r="D36" s="34" t="str">
        <f>Ktmp!D36</f>
        <v/>
      </c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>IF(Ktmp!J36="Экспресс",IF(I36&gt;=20,CONCATENATE("Груз-",Ktmp!J36),CONCATENATE("Почта-",Ktmp!J36)),Ktmp!J36)</f>
        <v/>
      </c>
      <c r="K36" s="1"/>
    </row>
    <row r="37" spans="1:11" x14ac:dyDescent="0.2">
      <c r="A37" s="16">
        <v>30</v>
      </c>
      <c r="B37" s="38" t="str">
        <f>Ktmp!B37</f>
        <v/>
      </c>
      <c r="C37" s="38" t="str">
        <f>Ktmp!C37</f>
        <v/>
      </c>
      <c r="D37" s="34" t="str">
        <f>Ktmp!D37</f>
        <v/>
      </c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>IF(Ktmp!J37="Экспресс",IF(I37&gt;=20,CONCATENATE("Груз-",Ktmp!J37),CONCATENATE("Почта-",Ktmp!J37)),Ktmp!J37)</f>
        <v/>
      </c>
      <c r="K37" s="1"/>
    </row>
    <row r="38" spans="1:11" x14ac:dyDescent="0.2">
      <c r="A38" s="16">
        <v>31</v>
      </c>
      <c r="B38" s="38" t="str">
        <f>Ktmp!B38</f>
        <v/>
      </c>
      <c r="C38" s="38" t="str">
        <f>Ktmp!C38</f>
        <v/>
      </c>
      <c r="D38" s="34" t="str">
        <f>Ktmp!D38</f>
        <v/>
      </c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>IF(Ktmp!J38="Экспресс",IF(I38&gt;=20,CONCATENATE("Груз-",Ktmp!J38),CONCATENATE("Почта-",Ktmp!J38)),Ktmp!J38)</f>
        <v/>
      </c>
      <c r="K38" s="1"/>
    </row>
    <row r="39" spans="1:11" x14ac:dyDescent="0.2">
      <c r="A39" s="16">
        <v>32</v>
      </c>
      <c r="B39" s="38" t="str">
        <f>Ktmp!B39</f>
        <v/>
      </c>
      <c r="C39" s="38" t="str">
        <f>Ktmp!C39</f>
        <v/>
      </c>
      <c r="D39" s="34" t="str">
        <f>Ktmp!D39</f>
        <v/>
      </c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>IF(Ktmp!J39="Экспресс",IF(I39&gt;=20,CONCATENATE("Груз-",Ktmp!J39),CONCATENATE("Почта-",Ktmp!J39)),Ktmp!J39)</f>
        <v/>
      </c>
      <c r="K39" s="1"/>
    </row>
    <row r="40" spans="1:11" x14ac:dyDescent="0.2">
      <c r="A40" s="16">
        <v>33</v>
      </c>
      <c r="B40" s="38" t="str">
        <f>Ktmp!B40</f>
        <v/>
      </c>
      <c r="C40" s="38" t="str">
        <f>Ktmp!C40</f>
        <v/>
      </c>
      <c r="D40" s="34" t="str">
        <f>Ktmp!D40</f>
        <v/>
      </c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>IF(Ktmp!J40="Экспресс",IF(I40&gt;=20,CONCATENATE("Груз-",Ktmp!J40),CONCATENATE("Почта-",Ktmp!J40)),Ktmp!J40)</f>
        <v/>
      </c>
      <c r="K40" s="1"/>
    </row>
    <row r="41" spans="1:11" x14ac:dyDescent="0.2">
      <c r="A41" s="16">
        <v>34</v>
      </c>
      <c r="B41" s="38" t="str">
        <f>Ktmp!B41</f>
        <v/>
      </c>
      <c r="C41" s="38" t="str">
        <f>Ktmp!C41</f>
        <v/>
      </c>
      <c r="D41" s="34" t="str">
        <f>Ktmp!D41</f>
        <v/>
      </c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>IF(Ktmp!J41="Экспресс",IF(I41&gt;=20,CONCATENATE("Груз-",Ktmp!J41),CONCATENATE("Почта-",Ktmp!J41)),Ktmp!J41)</f>
        <v/>
      </c>
      <c r="K41" s="1"/>
    </row>
    <row r="42" spans="1:11" x14ac:dyDescent="0.2">
      <c r="A42" s="16">
        <v>35</v>
      </c>
      <c r="B42" s="38" t="str">
        <f>Ktmp!B42</f>
        <v/>
      </c>
      <c r="C42" s="38" t="str">
        <f>Ktmp!C42</f>
        <v/>
      </c>
      <c r="D42" s="34" t="str">
        <f>Ktmp!D42</f>
        <v/>
      </c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>IF(Ktmp!J42="Экспресс",IF(I42&gt;=20,CONCATENATE("Груз-",Ktmp!J42),CONCATENATE("Почта-",Ktmp!J42)),Ktmp!J42)</f>
        <v/>
      </c>
      <c r="K42" s="1"/>
    </row>
    <row r="43" spans="1:11" x14ac:dyDescent="0.2">
      <c r="A43" s="16">
        <v>36</v>
      </c>
      <c r="B43" s="38" t="str">
        <f>Ktmp!B43</f>
        <v/>
      </c>
      <c r="C43" s="38" t="str">
        <f>Ktmp!C43</f>
        <v/>
      </c>
      <c r="D43" s="34" t="str">
        <f>Ktmp!D43</f>
        <v/>
      </c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>IF(Ktmp!J43="Экспресс",IF(I43&gt;=20,CONCATENATE("Груз-",Ktmp!J43),CONCATENATE("Почта-",Ktmp!J43)),Ktmp!J43)</f>
        <v/>
      </c>
      <c r="K43" s="1"/>
    </row>
    <row r="44" spans="1:11" x14ac:dyDescent="0.2">
      <c r="A44" s="16">
        <v>37</v>
      </c>
      <c r="B44" s="38" t="str">
        <f>Ktmp!B44</f>
        <v/>
      </c>
      <c r="C44" s="38" t="str">
        <f>Ktmp!C44</f>
        <v/>
      </c>
      <c r="D44" s="34" t="str">
        <f>Ktmp!D44</f>
        <v/>
      </c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>IF(Ktmp!J44="Экспресс",IF(I44&gt;=20,CONCATENATE("Груз-",Ktmp!J44),CONCATENATE("Почта-",Ktmp!J44)),Ktmp!J44)</f>
        <v/>
      </c>
      <c r="K44" s="1"/>
    </row>
    <row r="45" spans="1:11" x14ac:dyDescent="0.2">
      <c r="A45" s="16">
        <v>38</v>
      </c>
      <c r="B45" s="38" t="str">
        <f>Ktmp!B45</f>
        <v/>
      </c>
      <c r="C45" s="38" t="str">
        <f>Ktmp!C45</f>
        <v/>
      </c>
      <c r="D45" s="34" t="str">
        <f>Ktmp!D45</f>
        <v/>
      </c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>IF(Ktmp!J45="Экспресс",IF(I45&gt;=20,CONCATENATE("Груз-",Ktmp!J45),CONCATENATE("Почта-",Ktmp!J45)),Ktmp!J45)</f>
        <v/>
      </c>
      <c r="K45" s="1"/>
    </row>
    <row r="46" spans="1:11" x14ac:dyDescent="0.2">
      <c r="A46" s="16">
        <v>39</v>
      </c>
      <c r="B46" s="38" t="str">
        <f>Ktmp!B46</f>
        <v/>
      </c>
      <c r="C46" s="38" t="str">
        <f>Ktmp!C46</f>
        <v/>
      </c>
      <c r="D46" s="34" t="str">
        <f>Ktmp!D46</f>
        <v/>
      </c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>IF(Ktmp!J46="Экспресс",IF(I46&gt;=20,CONCATENATE("Груз-",Ktmp!J46),CONCATENATE("Почта-",Ktmp!J46)),Ktmp!J46)</f>
        <v/>
      </c>
      <c r="K46" s="1"/>
    </row>
    <row r="47" spans="1:11" x14ac:dyDescent="0.2">
      <c r="A47" s="16">
        <v>40</v>
      </c>
      <c r="B47" s="38" t="str">
        <f>Ktmp!B47</f>
        <v/>
      </c>
      <c r="C47" s="38" t="str">
        <f>Ktmp!C47</f>
        <v/>
      </c>
      <c r="D47" s="34" t="str">
        <f>Ktmp!D47</f>
        <v/>
      </c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>IF(Ktmp!J47="Экспресс",IF(I47&gt;=20,CONCATENATE("Груз-",Ktmp!J47),CONCATENATE("Почта-",Ktmp!J47)),Ktmp!J47)</f>
        <v/>
      </c>
      <c r="K47" s="1"/>
    </row>
    <row r="48" spans="1:11" x14ac:dyDescent="0.2">
      <c r="A48" s="16">
        <v>41</v>
      </c>
      <c r="B48" s="38" t="str">
        <f>Ktmp!B48</f>
        <v/>
      </c>
      <c r="C48" s="38" t="str">
        <f>Ktmp!C48</f>
        <v/>
      </c>
      <c r="D48" s="34" t="str">
        <f>Ktmp!D48</f>
        <v/>
      </c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>IF(Ktmp!J48="Экспресс",IF(I48&gt;=20,CONCATENATE("Груз-",Ktmp!J48),CONCATENATE("Почта-",Ktmp!J48)),Ktmp!J48)</f>
        <v/>
      </c>
      <c r="K48" s="1"/>
    </row>
    <row r="49" spans="1:11" x14ac:dyDescent="0.2">
      <c r="A49" s="16">
        <v>42</v>
      </c>
      <c r="B49" s="38" t="str">
        <f>Ktmp!B49</f>
        <v/>
      </c>
      <c r="C49" s="38" t="str">
        <f>Ktmp!C49</f>
        <v/>
      </c>
      <c r="D49" s="34" t="str">
        <f>Ktmp!D49</f>
        <v/>
      </c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>IF(Ktmp!J49="Экспресс",IF(I49&gt;=20,CONCATENATE("Груз-",Ktmp!J49),CONCATENATE("Почта-",Ktmp!J49)),Ktmp!J49)</f>
        <v/>
      </c>
      <c r="K49" s="1"/>
    </row>
    <row r="50" spans="1:11" x14ac:dyDescent="0.2">
      <c r="A50" s="16">
        <v>43</v>
      </c>
      <c r="B50" s="38" t="str">
        <f>Ktmp!B50</f>
        <v/>
      </c>
      <c r="C50" s="38" t="str">
        <f>Ktmp!C50</f>
        <v/>
      </c>
      <c r="D50" s="34" t="str">
        <f>Ktmp!D50</f>
        <v/>
      </c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>IF(Ktmp!J50="Экспресс",IF(I50&gt;=20,CONCATENATE("Груз-",Ktmp!J50),CONCATENATE("Почта-",Ktmp!J50)),Ktmp!J50)</f>
        <v/>
      </c>
      <c r="K50" s="1"/>
    </row>
    <row r="51" spans="1:11" x14ac:dyDescent="0.2">
      <c r="A51" s="16">
        <v>44</v>
      </c>
      <c r="B51" s="38" t="str">
        <f>Ktmp!B51</f>
        <v/>
      </c>
      <c r="C51" s="38" t="str">
        <f>Ktmp!C51</f>
        <v/>
      </c>
      <c r="D51" s="34" t="str">
        <f>Ktmp!D51</f>
        <v/>
      </c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>IF(Ktmp!J51="Экспресс",IF(I51&gt;=20,CONCATENATE("Груз-",Ktmp!J51),CONCATENATE("Почта-",Ktmp!J51)),Ktmp!J51)</f>
        <v/>
      </c>
      <c r="K51" s="1"/>
    </row>
    <row r="52" spans="1:11" x14ac:dyDescent="0.2">
      <c r="A52" s="16">
        <v>45</v>
      </c>
      <c r="B52" s="38" t="str">
        <f>Ktmp!B52</f>
        <v/>
      </c>
      <c r="C52" s="38" t="str">
        <f>Ktmp!C52</f>
        <v/>
      </c>
      <c r="D52" s="34" t="str">
        <f>Ktmp!D52</f>
        <v/>
      </c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>IF(Ktmp!J52="Экспресс",IF(I52&gt;=20,CONCATENATE("Груз-",Ktmp!J52),CONCATENATE("Почта-",Ktmp!J52)),Ktmp!J52)</f>
        <v/>
      </c>
      <c r="K52" s="1"/>
    </row>
    <row r="53" spans="1:11" x14ac:dyDescent="0.2">
      <c r="A53" s="16">
        <v>46</v>
      </c>
      <c r="B53" s="38" t="str">
        <f>Ktmp!B53</f>
        <v/>
      </c>
      <c r="C53" s="38" t="str">
        <f>Ktmp!C53</f>
        <v/>
      </c>
      <c r="D53" s="34" t="str">
        <f>Ktmp!D53</f>
        <v/>
      </c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>IF(Ktmp!J53="Экспресс",IF(I53&gt;=20,CONCATENATE("Груз-",Ktmp!J53),CONCATENATE("Почта-",Ktmp!J53)),Ktmp!J53)</f>
        <v/>
      </c>
      <c r="K53" s="1"/>
    </row>
    <row r="54" spans="1:11" x14ac:dyDescent="0.2">
      <c r="A54" s="16">
        <v>47</v>
      </c>
      <c r="B54" s="38" t="str">
        <f>Ktmp!B54</f>
        <v/>
      </c>
      <c r="C54" s="38" t="str">
        <f>Ktmp!C54</f>
        <v/>
      </c>
      <c r="D54" s="34" t="str">
        <f>Ktmp!D54</f>
        <v/>
      </c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>IF(Ktmp!J54="Экспресс",IF(I54&gt;=20,CONCATENATE("Груз-",Ktmp!J54),CONCATENATE("Почта-",Ktmp!J54)),Ktmp!J54)</f>
        <v/>
      </c>
      <c r="K54" s="1"/>
    </row>
    <row r="55" spans="1:11" x14ac:dyDescent="0.2">
      <c r="A55" s="16">
        <v>48</v>
      </c>
      <c r="B55" s="38" t="str">
        <f>Ktmp!B55</f>
        <v/>
      </c>
      <c r="C55" s="38" t="str">
        <f>Ktmp!C55</f>
        <v/>
      </c>
      <c r="D55" s="34" t="str">
        <f>Ktmp!D55</f>
        <v/>
      </c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>IF(Ktmp!J55="Экспресс",IF(I55&gt;=20,CONCATENATE("Груз-",Ktmp!J55),CONCATENATE("Почта-",Ktmp!J55)),Ktmp!J55)</f>
        <v/>
      </c>
      <c r="K55" s="1"/>
    </row>
    <row r="56" spans="1:11" x14ac:dyDescent="0.2">
      <c r="A56" s="16">
        <v>49</v>
      </c>
      <c r="B56" s="38" t="str">
        <f>Ktmp!B56</f>
        <v/>
      </c>
      <c r="C56" s="38" t="str">
        <f>Ktmp!C56</f>
        <v/>
      </c>
      <c r="D56" s="34" t="str">
        <f>Ktmp!D56</f>
        <v/>
      </c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>IF(Ktmp!J56="Экспресс",IF(I56&gt;=20,CONCATENATE("Груз-",Ktmp!J56),CONCATENATE("Почта-",Ktmp!J56)),Ktmp!J56)</f>
        <v/>
      </c>
      <c r="K56" s="1"/>
    </row>
    <row r="57" spans="1:11" x14ac:dyDescent="0.2">
      <c r="A57" s="16">
        <v>50</v>
      </c>
      <c r="B57" s="38" t="str">
        <f>Ktmp!B57</f>
        <v/>
      </c>
      <c r="C57" s="38" t="str">
        <f>Ktmp!C57</f>
        <v/>
      </c>
      <c r="D57" s="34" t="str">
        <f>Ktmp!D57</f>
        <v/>
      </c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>IF(Ktmp!J57="Экспресс",IF(I57&gt;=20,CONCATENATE("Груз-",Ktmp!J57),CONCATENATE("Почта-",Ktmp!J57)),Ktmp!J57)</f>
        <v/>
      </c>
      <c r="K57" s="1"/>
    </row>
    <row r="58" spans="1:11" x14ac:dyDescent="0.2">
      <c r="A58" s="16">
        <v>51</v>
      </c>
      <c r="B58" s="38" t="str">
        <f>Ktmp!B58</f>
        <v/>
      </c>
      <c r="C58" s="38" t="str">
        <f>Ktmp!C58</f>
        <v/>
      </c>
      <c r="D58" s="34" t="str">
        <f>Ktmp!D58</f>
        <v/>
      </c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>IF(Ktmp!J58="Экспресс",IF(I58&gt;=20,CONCATENATE("Груз-",Ktmp!J58),CONCATENATE("Почта-",Ktmp!J58)),Ktmp!J58)</f>
        <v/>
      </c>
      <c r="K58" s="1"/>
    </row>
    <row r="59" spans="1:11" x14ac:dyDescent="0.2">
      <c r="A59" s="16">
        <v>52</v>
      </c>
      <c r="B59" s="38" t="str">
        <f>Ktmp!B59</f>
        <v/>
      </c>
      <c r="C59" s="38" t="str">
        <f>Ktmp!C59</f>
        <v/>
      </c>
      <c r="D59" s="34" t="str">
        <f>Ktmp!D59</f>
        <v/>
      </c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>IF(Ktmp!J59="Экспресс",IF(I59&gt;=20,CONCATENATE("Груз-",Ktmp!J59),CONCATENATE("Почта-",Ktmp!J59)),Ktmp!J59)</f>
        <v/>
      </c>
      <c r="K59" s="1"/>
    </row>
    <row r="60" spans="1:11" x14ac:dyDescent="0.2">
      <c r="A60" s="16">
        <v>53</v>
      </c>
      <c r="B60" s="38" t="str">
        <f>Ktmp!B60</f>
        <v/>
      </c>
      <c r="C60" s="38" t="str">
        <f>Ktmp!C60</f>
        <v/>
      </c>
      <c r="D60" s="34" t="str">
        <f>Ktmp!D60</f>
        <v/>
      </c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>IF(Ktmp!J60="Экспресс",IF(I60&gt;=20,CONCATENATE("Груз-",Ktmp!J60),CONCATENATE("Почта-",Ktmp!J60)),Ktmp!J60)</f>
        <v/>
      </c>
      <c r="K60" s="1"/>
    </row>
    <row r="61" spans="1:11" x14ac:dyDescent="0.2">
      <c r="A61" s="16">
        <v>54</v>
      </c>
      <c r="B61" s="38" t="str">
        <f>Ktmp!B61</f>
        <v/>
      </c>
      <c r="C61" s="38" t="str">
        <f>Ktmp!C61</f>
        <v/>
      </c>
      <c r="D61" s="34" t="str">
        <f>Ktmp!D61</f>
        <v/>
      </c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>IF(Ktmp!J61="Экспресс",IF(I61&gt;=20,CONCATENATE("Груз-",Ktmp!J61),CONCATENATE("Почта-",Ktmp!J61)),Ktmp!J61)</f>
        <v/>
      </c>
      <c r="K61" s="1"/>
    </row>
    <row r="62" spans="1:11" x14ac:dyDescent="0.2">
      <c r="A62" s="16">
        <v>55</v>
      </c>
      <c r="B62" s="38" t="str">
        <f>Ktmp!B62</f>
        <v/>
      </c>
      <c r="C62" s="38" t="str">
        <f>Ktmp!C62</f>
        <v/>
      </c>
      <c r="D62" s="34" t="str">
        <f>Ktmp!D62</f>
        <v/>
      </c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>IF(Ktmp!J62="Экспресс",IF(I62&gt;=20,CONCATENATE("Груз-",Ktmp!J62),CONCATENATE("Почта-",Ktmp!J62)),Ktmp!J62)</f>
        <v/>
      </c>
      <c r="K62" s="1"/>
    </row>
    <row r="63" spans="1:11" x14ac:dyDescent="0.2">
      <c r="A63" s="16">
        <v>56</v>
      </c>
      <c r="B63" s="38" t="str">
        <f>Ktmp!B63</f>
        <v/>
      </c>
      <c r="C63" s="38" t="str">
        <f>Ktmp!C63</f>
        <v/>
      </c>
      <c r="D63" s="34" t="str">
        <f>Ktmp!D63</f>
        <v/>
      </c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>IF(Ktmp!J63="Экспресс",IF(I63&gt;=20,CONCATENATE("Груз-",Ktmp!J63),CONCATENATE("Почта-",Ktmp!J63)),Ktmp!J63)</f>
        <v/>
      </c>
      <c r="K63" s="1"/>
    </row>
    <row r="64" spans="1:11" x14ac:dyDescent="0.2">
      <c r="A64" s="16">
        <v>57</v>
      </c>
      <c r="B64" s="38" t="str">
        <f>Ktmp!B64</f>
        <v/>
      </c>
      <c r="C64" s="38" t="str">
        <f>Ktmp!C64</f>
        <v/>
      </c>
      <c r="D64" s="34" t="str">
        <f>Ktmp!D64</f>
        <v/>
      </c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>IF(Ktmp!J64="Экспресс",IF(I64&gt;=20,CONCATENATE("Груз-",Ktmp!J64),CONCATENATE("Почта-",Ktmp!J64)),Ktmp!J64)</f>
        <v/>
      </c>
      <c r="K64" s="1"/>
    </row>
    <row r="65" spans="1:11" x14ac:dyDescent="0.2">
      <c r="A65" s="16">
        <v>58</v>
      </c>
      <c r="B65" s="38" t="str">
        <f>Ktmp!B65</f>
        <v/>
      </c>
      <c r="C65" s="38" t="str">
        <f>Ktmp!C65</f>
        <v/>
      </c>
      <c r="D65" s="34" t="str">
        <f>Ktmp!D65</f>
        <v/>
      </c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>IF(Ktmp!J65="Экспресс",IF(I65&gt;=20,CONCATENATE("Груз-",Ktmp!J65),CONCATENATE("Почта-",Ktmp!J65)),Ktmp!J65)</f>
        <v/>
      </c>
      <c r="K65" s="1"/>
    </row>
    <row r="66" spans="1:11" x14ac:dyDescent="0.2">
      <c r="A66" s="16">
        <v>59</v>
      </c>
      <c r="B66" s="38" t="str">
        <f>Ktmp!B66</f>
        <v/>
      </c>
      <c r="C66" s="38" t="str">
        <f>Ktmp!C66</f>
        <v/>
      </c>
      <c r="D66" s="34" t="str">
        <f>Ktmp!D66</f>
        <v/>
      </c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>IF(Ktmp!J66="Экспресс",IF(I66&gt;=20,CONCATENATE("Груз-",Ktmp!J66),CONCATENATE("Почта-",Ktmp!J66)),Ktmp!J66)</f>
        <v/>
      </c>
      <c r="K66" s="1"/>
    </row>
    <row r="67" spans="1:11" x14ac:dyDescent="0.2">
      <c r="A67" s="16">
        <v>60</v>
      </c>
      <c r="B67" s="38" t="str">
        <f>Ktmp!B67</f>
        <v/>
      </c>
      <c r="C67" s="38" t="str">
        <f>Ktmp!C67</f>
        <v/>
      </c>
      <c r="D67" s="34" t="str">
        <f>Ktmp!D67</f>
        <v/>
      </c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>IF(Ktmp!J67="Экспресс",IF(I67&gt;=20,CONCATENATE("Груз-",Ktmp!J67),CONCATENATE("Почта-",Ktmp!J67)),Ktmp!J67)</f>
        <v/>
      </c>
      <c r="K67" s="1"/>
    </row>
    <row r="68" spans="1:11" x14ac:dyDescent="0.2">
      <c r="A68" s="16">
        <v>61</v>
      </c>
      <c r="B68" s="38" t="str">
        <f>Ktmp!B68</f>
        <v/>
      </c>
      <c r="C68" s="38" t="str">
        <f>Ktmp!C68</f>
        <v/>
      </c>
      <c r="D68" s="34" t="str">
        <f>Ktmp!D68</f>
        <v/>
      </c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>IF(Ktmp!J68="Экспресс",IF(I68&gt;=20,CONCATENATE("Груз-",Ktmp!J68),CONCATENATE("Почта-",Ktmp!J68)),Ktmp!J68)</f>
        <v/>
      </c>
      <c r="K68" s="1"/>
    </row>
    <row r="69" spans="1:11" x14ac:dyDescent="0.2">
      <c r="A69" s="16">
        <v>62</v>
      </c>
      <c r="B69" s="38" t="str">
        <f>Ktmp!B69</f>
        <v/>
      </c>
      <c r="C69" s="38" t="str">
        <f>Ktmp!C69</f>
        <v/>
      </c>
      <c r="D69" s="34" t="str">
        <f>Ktmp!D69</f>
        <v/>
      </c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>IF(Ktmp!J69="Экспресс",IF(I69&gt;=20,CONCATENATE("Груз-",Ktmp!J69),CONCATENATE("Почта-",Ktmp!J69)),Ktmp!J69)</f>
        <v/>
      </c>
      <c r="K69" s="1"/>
    </row>
    <row r="70" spans="1:11" x14ac:dyDescent="0.2">
      <c r="A70" s="16">
        <v>63</v>
      </c>
      <c r="B70" s="38" t="str">
        <f>Ktmp!B70</f>
        <v/>
      </c>
      <c r="C70" s="38" t="str">
        <f>Ktmp!C70</f>
        <v/>
      </c>
      <c r="D70" s="34" t="str">
        <f>Ktmp!D70</f>
        <v/>
      </c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>IF(Ktmp!J70="Экспресс",IF(I70&gt;=20,CONCATENATE("Груз-",Ktmp!J70),CONCATENATE("Почта-",Ktmp!J70)),Ktmp!J70)</f>
        <v/>
      </c>
      <c r="K70" s="1"/>
    </row>
    <row r="71" spans="1:11" x14ac:dyDescent="0.2">
      <c r="A71" s="16">
        <v>64</v>
      </c>
      <c r="B71" s="38" t="str">
        <f>Ktmp!B71</f>
        <v/>
      </c>
      <c r="C71" s="38" t="str">
        <f>Ktmp!C71</f>
        <v/>
      </c>
      <c r="D71" s="34" t="str">
        <f>Ktmp!D71</f>
        <v/>
      </c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>IF(Ktmp!J71="Экспресс",IF(I71&gt;=20,CONCATENATE("Груз-",Ktmp!J71),CONCATENATE("Почта-",Ktmp!J71)),Ktmp!J71)</f>
        <v/>
      </c>
      <c r="K71" s="1"/>
    </row>
    <row r="72" spans="1:11" x14ac:dyDescent="0.2">
      <c r="A72" s="16">
        <v>65</v>
      </c>
      <c r="B72" s="38" t="str">
        <f>Ktmp!B72</f>
        <v/>
      </c>
      <c r="C72" s="38" t="str">
        <f>Ktmp!C72</f>
        <v/>
      </c>
      <c r="D72" s="34" t="str">
        <f>Ktmp!D72</f>
        <v/>
      </c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>IF(Ktmp!J72="Экспресс",IF(I72&gt;=20,CONCATENATE("Груз-",Ktmp!J72),CONCATENATE("Почта-",Ktmp!J72)),Ktmp!J72)</f>
        <v/>
      </c>
      <c r="K72" s="1"/>
    </row>
    <row r="73" spans="1:11" x14ac:dyDescent="0.2">
      <c r="A73" s="16">
        <v>66</v>
      </c>
      <c r="B73" s="38" t="str">
        <f>Ktmp!B73</f>
        <v/>
      </c>
      <c r="C73" s="38" t="str">
        <f>Ktmp!C73</f>
        <v/>
      </c>
      <c r="D73" s="34" t="str">
        <f>Ktmp!D73</f>
        <v/>
      </c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>IF(Ktmp!J73="Экспресс",IF(I73&gt;=20,CONCATENATE("Груз-",Ktmp!J73),CONCATENATE("Почта-",Ktmp!J73)),Ktmp!J73)</f>
        <v/>
      </c>
      <c r="K73" s="1"/>
    </row>
    <row r="74" spans="1:11" x14ac:dyDescent="0.2">
      <c r="A74" s="16">
        <v>67</v>
      </c>
      <c r="B74" s="38" t="str">
        <f>Ktmp!B74</f>
        <v/>
      </c>
      <c r="C74" s="38" t="str">
        <f>Ktmp!C74</f>
        <v/>
      </c>
      <c r="D74" s="34" t="str">
        <f>Ktmp!D74</f>
        <v/>
      </c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>IF(Ktmp!J74="Экспресс",IF(I74&gt;=20,CONCATENATE("Груз-",Ktmp!J74),CONCATENATE("Почта-",Ktmp!J74)),Ktmp!J74)</f>
        <v/>
      </c>
      <c r="K74" s="1"/>
    </row>
    <row r="75" spans="1:11" x14ac:dyDescent="0.2">
      <c r="A75" s="16">
        <v>68</v>
      </c>
      <c r="B75" s="38" t="str">
        <f>Ktmp!B75</f>
        <v/>
      </c>
      <c r="C75" s="38" t="str">
        <f>Ktmp!C75</f>
        <v/>
      </c>
      <c r="D75" s="34" t="str">
        <f>Ktmp!D75</f>
        <v/>
      </c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>IF(Ktmp!J75="Экспресс",IF(I75&gt;=20,CONCATENATE("Груз-",Ktmp!J75),CONCATENATE("Почта-",Ktmp!J75)),Ktmp!J75)</f>
        <v/>
      </c>
      <c r="K75" s="1"/>
    </row>
    <row r="76" spans="1:11" x14ac:dyDescent="0.2">
      <c r="A76" s="16">
        <v>69</v>
      </c>
      <c r="B76" s="38" t="str">
        <f>Ktmp!B76</f>
        <v/>
      </c>
      <c r="C76" s="38" t="str">
        <f>Ktmp!C76</f>
        <v/>
      </c>
      <c r="D76" s="34" t="str">
        <f>Ktmp!D76</f>
        <v/>
      </c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>IF(Ktmp!J76="Экспресс",IF(I76&gt;=20,CONCATENATE("Груз-",Ktmp!J76),CONCATENATE("Почта-",Ktmp!J76)),Ktmp!J76)</f>
        <v/>
      </c>
      <c r="K76" s="1"/>
    </row>
    <row r="77" spans="1:11" x14ac:dyDescent="0.2">
      <c r="A77" s="16">
        <v>70</v>
      </c>
      <c r="B77" s="38" t="str">
        <f>Ktmp!B77</f>
        <v/>
      </c>
      <c r="C77" s="38" t="str">
        <f>Ktmp!C77</f>
        <v/>
      </c>
      <c r="D77" s="34" t="str">
        <f>Ktmp!D77</f>
        <v/>
      </c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>IF(Ktmp!J77="Экспресс",IF(I77&gt;=20,CONCATENATE("Груз-",Ktmp!J77),CONCATENATE("Почта-",Ktmp!J77)),Ktmp!J77)</f>
        <v/>
      </c>
      <c r="K77" s="1"/>
    </row>
    <row r="78" spans="1:11" x14ac:dyDescent="0.2">
      <c r="A78" s="16">
        <v>71</v>
      </c>
      <c r="B78" s="38" t="str">
        <f>Ktmp!B78</f>
        <v/>
      </c>
      <c r="C78" s="38" t="str">
        <f>Ktmp!C78</f>
        <v/>
      </c>
      <c r="D78" s="34" t="str">
        <f>Ktmp!D78</f>
        <v/>
      </c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>IF(Ktmp!J78="Экспресс",IF(I78&gt;=20,CONCATENATE("Груз-",Ktmp!J78),CONCATENATE("Почта-",Ktmp!J78)),Ktmp!J78)</f>
        <v/>
      </c>
      <c r="K78" s="1"/>
    </row>
    <row r="79" spans="1:11" x14ac:dyDescent="0.2">
      <c r="A79" s="16">
        <v>72</v>
      </c>
      <c r="B79" s="38" t="str">
        <f>Ktmp!B79</f>
        <v/>
      </c>
      <c r="C79" s="38" t="str">
        <f>Ktmp!C79</f>
        <v/>
      </c>
      <c r="D79" s="34" t="str">
        <f>Ktmp!D79</f>
        <v/>
      </c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>IF(Ktmp!J79="Экспресс",IF(I79&gt;=20,CONCATENATE("Груз-",Ktmp!J79),CONCATENATE("Почта-",Ktmp!J79)),Ktmp!J79)</f>
        <v/>
      </c>
      <c r="K79" s="1"/>
    </row>
    <row r="80" spans="1:11" x14ac:dyDescent="0.2">
      <c r="A80" s="16">
        <v>73</v>
      </c>
      <c r="B80" s="38" t="str">
        <f>Ktmp!B80</f>
        <v/>
      </c>
      <c r="C80" s="38" t="str">
        <f>Ktmp!C80</f>
        <v/>
      </c>
      <c r="D80" s="34" t="str">
        <f>Ktmp!D80</f>
        <v/>
      </c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>IF(Ktmp!J80="Экспресс",IF(I80&gt;=20,CONCATENATE("Груз-",Ktmp!J80),CONCATENATE("Почта-",Ktmp!J80)),Ktmp!J80)</f>
        <v/>
      </c>
      <c r="K80" s="1"/>
    </row>
    <row r="81" spans="1:11" x14ac:dyDescent="0.2">
      <c r="A81" s="16">
        <v>74</v>
      </c>
      <c r="B81" s="38" t="str">
        <f>Ktmp!B81</f>
        <v/>
      </c>
      <c r="C81" s="38" t="str">
        <f>Ktmp!C81</f>
        <v/>
      </c>
      <c r="D81" s="34" t="str">
        <f>Ktmp!D81</f>
        <v/>
      </c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>IF(Ktmp!J81="Экспресс",IF(I81&gt;=20,CONCATENATE("Груз-",Ktmp!J81),CONCATENATE("Почта-",Ktmp!J81)),Ktmp!J81)</f>
        <v/>
      </c>
      <c r="K81" s="1"/>
    </row>
    <row r="82" spans="1:11" x14ac:dyDescent="0.2">
      <c r="A82" s="16">
        <v>75</v>
      </c>
      <c r="B82" s="38" t="str">
        <f>Ktmp!B82</f>
        <v/>
      </c>
      <c r="C82" s="38" t="str">
        <f>Ktmp!C82</f>
        <v/>
      </c>
      <c r="D82" s="34" t="str">
        <f>Ktmp!D82</f>
        <v/>
      </c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>IF(Ktmp!J82="Экспресс",IF(I82&gt;=20,CONCATENATE("Груз-",Ktmp!J82),CONCATENATE("Почта-",Ktmp!J82)),Ktmp!J82)</f>
        <v/>
      </c>
      <c r="K82" s="1"/>
    </row>
    <row r="83" spans="1:11" x14ac:dyDescent="0.2">
      <c r="A83" s="16">
        <v>76</v>
      </c>
      <c r="B83" s="38" t="str">
        <f>Ktmp!B83</f>
        <v/>
      </c>
      <c r="C83" s="38" t="str">
        <f>Ktmp!C83</f>
        <v/>
      </c>
      <c r="D83" s="34" t="str">
        <f>Ktmp!D83</f>
        <v/>
      </c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>IF(Ktmp!J83="Экспресс",IF(I83&gt;=20,CONCATENATE("Груз-",Ktmp!J83),CONCATENATE("Почта-",Ktmp!J83)),Ktmp!J83)</f>
        <v/>
      </c>
      <c r="K83" s="1"/>
    </row>
    <row r="84" spans="1:11" x14ac:dyDescent="0.2">
      <c r="A84" s="16">
        <v>77</v>
      </c>
      <c r="B84" s="38" t="str">
        <f>Ktmp!B84</f>
        <v/>
      </c>
      <c r="C84" s="38" t="str">
        <f>Ktmp!C84</f>
        <v/>
      </c>
      <c r="D84" s="34" t="str">
        <f>Ktmp!D84</f>
        <v/>
      </c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>IF(Ktmp!J84="Экспресс",IF(I84&gt;=20,CONCATENATE("Груз-",Ktmp!J84),CONCATENATE("Почта-",Ktmp!J84)),Ktmp!J84)</f>
        <v/>
      </c>
      <c r="K84" s="1"/>
    </row>
    <row r="85" spans="1:11" x14ac:dyDescent="0.2">
      <c r="A85" s="16">
        <v>78</v>
      </c>
      <c r="B85" s="38" t="str">
        <f>Ktmp!B85</f>
        <v/>
      </c>
      <c r="C85" s="38" t="str">
        <f>Ktmp!C85</f>
        <v/>
      </c>
      <c r="D85" s="34" t="str">
        <f>Ktmp!D85</f>
        <v/>
      </c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>IF(Ktmp!J85="Экспресс",IF(I85&gt;=20,CONCATENATE("Груз-",Ktmp!J85),CONCATENATE("Почта-",Ktmp!J85)),Ktmp!J85)</f>
        <v/>
      </c>
      <c r="K85" s="1"/>
    </row>
    <row r="86" spans="1:11" x14ac:dyDescent="0.2">
      <c r="A86" s="16">
        <v>79</v>
      </c>
      <c r="B86" s="38" t="str">
        <f>Ktmp!B86</f>
        <v/>
      </c>
      <c r="C86" s="38" t="str">
        <f>Ktmp!C86</f>
        <v/>
      </c>
      <c r="D86" s="34" t="str">
        <f>Ktmp!D86</f>
        <v/>
      </c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>IF(Ktmp!J86="Экспресс",IF(I86&gt;=20,CONCATENATE("Груз-",Ktmp!J86),CONCATENATE("Почта-",Ktmp!J86)),Ktmp!J86)</f>
        <v/>
      </c>
      <c r="K86" s="1"/>
    </row>
    <row r="87" spans="1:11" x14ac:dyDescent="0.2">
      <c r="A87" s="16">
        <v>80</v>
      </c>
      <c r="B87" s="38" t="str">
        <f>Ktmp!B87</f>
        <v/>
      </c>
      <c r="C87" s="38" t="str">
        <f>Ktmp!C87</f>
        <v/>
      </c>
      <c r="D87" s="34" t="str">
        <f>Ktmp!D87</f>
        <v/>
      </c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>IF(Ktmp!J87="Экспресс",IF(I87&gt;=20,CONCATENATE("Груз-",Ktmp!J87),CONCATENATE("Почта-",Ktmp!J87)),Ktmp!J87)</f>
        <v/>
      </c>
      <c r="K87" s="1"/>
    </row>
    <row r="88" spans="1:11" x14ac:dyDescent="0.2">
      <c r="A88" s="16">
        <v>81</v>
      </c>
      <c r="B88" s="38" t="str">
        <f>Ktmp!B88</f>
        <v/>
      </c>
      <c r="C88" s="38" t="str">
        <f>Ktmp!C88</f>
        <v/>
      </c>
      <c r="D88" s="34" t="str">
        <f>Ktmp!D88</f>
        <v/>
      </c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>IF(Ktmp!J88="Экспресс",IF(I88&gt;=20,CONCATENATE("Груз-",Ktmp!J88),CONCATENATE("Почта-",Ktmp!J88)),Ktmp!J88)</f>
        <v/>
      </c>
      <c r="K88" s="1"/>
    </row>
    <row r="89" spans="1:11" x14ac:dyDescent="0.2">
      <c r="A89" s="16">
        <v>82</v>
      </c>
      <c r="B89" s="38" t="str">
        <f>Ktmp!B89</f>
        <v/>
      </c>
      <c r="C89" s="38" t="str">
        <f>Ktmp!C89</f>
        <v/>
      </c>
      <c r="D89" s="34" t="str">
        <f>Ktmp!D89</f>
        <v/>
      </c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>IF(Ktmp!J89="Экспресс",IF(I89&gt;=20,CONCATENATE("Груз-",Ktmp!J89),CONCATENATE("Почта-",Ktmp!J89)),Ktmp!J89)</f>
        <v/>
      </c>
      <c r="K89" s="1"/>
    </row>
    <row r="90" spans="1:11" x14ac:dyDescent="0.2">
      <c r="A90" s="16">
        <v>83</v>
      </c>
      <c r="B90" s="38" t="str">
        <f>Ktmp!B90</f>
        <v/>
      </c>
      <c r="C90" s="38" t="str">
        <f>Ktmp!C90</f>
        <v/>
      </c>
      <c r="D90" s="34" t="str">
        <f>Ktmp!D90</f>
        <v/>
      </c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>IF(Ktmp!J90="Экспресс",IF(I90&gt;=20,CONCATENATE("Груз-",Ktmp!J90),CONCATENATE("Почта-",Ktmp!J90)),Ktmp!J90)</f>
        <v/>
      </c>
      <c r="K90" s="1"/>
    </row>
    <row r="91" spans="1:11" x14ac:dyDescent="0.2">
      <c r="A91" s="16">
        <v>84</v>
      </c>
      <c r="B91" s="38" t="str">
        <f>Ktmp!B91</f>
        <v/>
      </c>
      <c r="C91" s="38" t="str">
        <f>Ktmp!C91</f>
        <v/>
      </c>
      <c r="D91" s="34" t="str">
        <f>Ktmp!D91</f>
        <v/>
      </c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>IF(Ktmp!J91="Экспресс",IF(I91&gt;=20,CONCATENATE("Груз-",Ktmp!J91),CONCATENATE("Почта-",Ktmp!J91)),Ktmp!J91)</f>
        <v/>
      </c>
      <c r="K91" s="1"/>
    </row>
    <row r="92" spans="1:11" x14ac:dyDescent="0.2">
      <c r="A92" s="16">
        <v>85</v>
      </c>
      <c r="B92" s="38" t="str">
        <f>Ktmp!B92</f>
        <v/>
      </c>
      <c r="C92" s="38" t="str">
        <f>Ktmp!C92</f>
        <v/>
      </c>
      <c r="D92" s="34" t="str">
        <f>Ktmp!D92</f>
        <v/>
      </c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>IF(Ktmp!J92="Экспресс",IF(I92&gt;=20,CONCATENATE("Груз-",Ktmp!J92),CONCATENATE("Почта-",Ktmp!J92)),Ktmp!J92)</f>
        <v/>
      </c>
      <c r="K92" s="1"/>
    </row>
    <row r="93" spans="1:11" x14ac:dyDescent="0.2">
      <c r="A93" s="16">
        <v>86</v>
      </c>
      <c r="B93" s="38" t="str">
        <f>Ktmp!B93</f>
        <v/>
      </c>
      <c r="C93" s="38" t="str">
        <f>Ktmp!C93</f>
        <v/>
      </c>
      <c r="D93" s="34" t="str">
        <f>Ktmp!D93</f>
        <v/>
      </c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>IF(Ktmp!J93="Экспресс",IF(I93&gt;=20,CONCATENATE("Груз-",Ktmp!J93),CONCATENATE("Почта-",Ktmp!J93)),Ktmp!J93)</f>
        <v/>
      </c>
      <c r="K93" s="1"/>
    </row>
    <row r="94" spans="1:11" x14ac:dyDescent="0.2">
      <c r="A94" s="16">
        <v>87</v>
      </c>
      <c r="B94" s="38" t="str">
        <f>Ktmp!B94</f>
        <v/>
      </c>
      <c r="C94" s="38" t="str">
        <f>Ktmp!C94</f>
        <v/>
      </c>
      <c r="D94" s="34" t="str">
        <f>Ktmp!D94</f>
        <v/>
      </c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>IF(Ktmp!J94="Экспресс",IF(I94&gt;=20,CONCATENATE("Груз-",Ktmp!J94),CONCATENATE("Почта-",Ktmp!J94)),Ktmp!J94)</f>
        <v/>
      </c>
      <c r="K94" s="1"/>
    </row>
    <row r="95" spans="1:11" x14ac:dyDescent="0.2">
      <c r="A95" s="16">
        <v>88</v>
      </c>
      <c r="B95" s="38" t="str">
        <f>Ktmp!B95</f>
        <v/>
      </c>
      <c r="C95" s="38" t="str">
        <f>Ktmp!C95</f>
        <v/>
      </c>
      <c r="D95" s="34" t="str">
        <f>Ktmp!D95</f>
        <v/>
      </c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>IF(Ktmp!J95="Экспресс",IF(I95&gt;=20,CONCATENATE("Груз-",Ktmp!J95),CONCATENATE("Почта-",Ktmp!J95)),Ktmp!J95)</f>
        <v/>
      </c>
      <c r="K95" s="1"/>
    </row>
    <row r="96" spans="1:11" x14ac:dyDescent="0.2">
      <c r="A96" s="16">
        <v>89</v>
      </c>
      <c r="B96" s="38" t="str">
        <f>Ktmp!B96</f>
        <v/>
      </c>
      <c r="C96" s="38" t="str">
        <f>Ktmp!C96</f>
        <v/>
      </c>
      <c r="D96" s="34" t="str">
        <f>Ktmp!D96</f>
        <v/>
      </c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>IF(Ktmp!J96="Экспресс",IF(I96&gt;=20,CONCATENATE("Груз-",Ktmp!J96),CONCATENATE("Почта-",Ktmp!J96)),Ktmp!J96)</f>
        <v/>
      </c>
      <c r="K96" s="1"/>
    </row>
    <row r="97" spans="1:12" x14ac:dyDescent="0.2">
      <c r="A97" s="16">
        <v>90</v>
      </c>
      <c r="B97" s="38" t="str">
        <f>Ktmp!B97</f>
        <v/>
      </c>
      <c r="C97" s="38" t="str">
        <f>Ktmp!C97</f>
        <v/>
      </c>
      <c r="D97" s="34" t="str">
        <f>Ktmp!D97</f>
        <v/>
      </c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>IF(Ktmp!J97="Экспресс",IF(I97&gt;=20,CONCATENATE("Груз-",Ktmp!J97),CONCATENATE("Почта-",Ktmp!J97)),Ktmp!J97)</f>
        <v/>
      </c>
      <c r="K97" s="1"/>
    </row>
    <row r="98" spans="1:12" x14ac:dyDescent="0.2">
      <c r="A98" s="16">
        <v>91</v>
      </c>
      <c r="B98" s="38" t="str">
        <f>Ktmp!B98</f>
        <v/>
      </c>
      <c r="C98" s="38" t="str">
        <f>Ktmp!C98</f>
        <v/>
      </c>
      <c r="D98" s="34" t="str">
        <f>Ktmp!D98</f>
        <v/>
      </c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>IF(Ktmp!J98="Экспресс",IF(I98&gt;=20,CONCATENATE("Груз-",Ktmp!J98),CONCATENATE("Почта-",Ktmp!J98)),Ktmp!J98)</f>
        <v/>
      </c>
      <c r="K98" s="1"/>
    </row>
    <row r="99" spans="1:12" x14ac:dyDescent="0.2">
      <c r="A99" s="16">
        <v>92</v>
      </c>
      <c r="B99" s="38" t="str">
        <f>Ktmp!B99</f>
        <v/>
      </c>
      <c r="C99" s="38" t="str">
        <f>Ktmp!C99</f>
        <v/>
      </c>
      <c r="D99" s="34" t="str">
        <f>Ktmp!D99</f>
        <v/>
      </c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>IF(Ktmp!J99="Экспресс",IF(I99&gt;=20,CONCATENATE("Груз-",Ktmp!J99),CONCATENATE("Почта-",Ktmp!J99)),Ktmp!J99)</f>
        <v/>
      </c>
      <c r="K99" s="1"/>
    </row>
    <row r="100" spans="1:12" x14ac:dyDescent="0.2">
      <c r="A100" s="16">
        <v>93</v>
      </c>
      <c r="B100" s="38" t="str">
        <f>Ktmp!B100</f>
        <v/>
      </c>
      <c r="C100" s="38" t="str">
        <f>Ktmp!C100</f>
        <v/>
      </c>
      <c r="D100" s="34" t="str">
        <f>Ktmp!D100</f>
        <v/>
      </c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>IF(Ktmp!J100="Экспресс",IF(I100&gt;=20,CONCATENATE("Груз-",Ktmp!J100),CONCATENATE("Почта-",Ktmp!J100)),Ktmp!J100)</f>
        <v/>
      </c>
      <c r="K100" s="1"/>
    </row>
    <row r="101" spans="1:12" x14ac:dyDescent="0.2">
      <c r="A101" s="16">
        <v>94</v>
      </c>
      <c r="B101" s="38" t="str">
        <f>Ktmp!B101</f>
        <v/>
      </c>
      <c r="C101" s="38" t="str">
        <f>Ktmp!C101</f>
        <v/>
      </c>
      <c r="D101" s="34" t="str">
        <f>Ktmp!D101</f>
        <v/>
      </c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>IF(Ktmp!J101="Экспресс",IF(I101&gt;=20,CONCATENATE("Груз-",Ktmp!J101),CONCATENATE("Почта-",Ktmp!J101)),Ktmp!J101)</f>
        <v/>
      </c>
      <c r="K101" s="1"/>
    </row>
    <row r="102" spans="1:12" x14ac:dyDescent="0.2">
      <c r="A102" s="16">
        <v>95</v>
      </c>
      <c r="B102" s="38" t="str">
        <f>Ktmp!B102</f>
        <v/>
      </c>
      <c r="C102" s="38" t="str">
        <f>Ktmp!C102</f>
        <v/>
      </c>
      <c r="D102" s="34" t="str">
        <f>Ktmp!D102</f>
        <v/>
      </c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>IF(Ktmp!J102="Экспресс",IF(I102&gt;=20,CONCATENATE("Груз-",Ktmp!J102),CONCATENATE("Почта-",Ktmp!J102)),Ktmp!J102)</f>
        <v/>
      </c>
      <c r="K102" s="1"/>
    </row>
    <row r="103" spans="1:12" x14ac:dyDescent="0.2">
      <c r="A103" s="16">
        <v>96</v>
      </c>
      <c r="B103" s="38" t="str">
        <f>Ktmp!B103</f>
        <v/>
      </c>
      <c r="C103" s="38" t="str">
        <f>Ktmp!C103</f>
        <v/>
      </c>
      <c r="D103" s="34" t="str">
        <f>Ktmp!D103</f>
        <v/>
      </c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>IF(Ktmp!J103="Экспресс",IF(I103&gt;=20,CONCATENATE("Груз-",Ktmp!J103),CONCATENATE("Почта-",Ktmp!J103)),Ktmp!J103)</f>
        <v/>
      </c>
      <c r="K103" s="1"/>
    </row>
    <row r="104" spans="1:12" x14ac:dyDescent="0.2">
      <c r="A104" s="16">
        <v>97</v>
      </c>
      <c r="B104" s="38" t="str">
        <f>Ktmp!B104</f>
        <v/>
      </c>
      <c r="C104" s="38" t="str">
        <f>Ktmp!C104</f>
        <v/>
      </c>
      <c r="D104" s="34" t="str">
        <f>Ktmp!D104</f>
        <v/>
      </c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>IF(Ktmp!J104="Экспресс",IF(I104&gt;=20,CONCATENATE("Груз-",Ktmp!J104),CONCATENATE("Почта-",Ktmp!J104)),Ktmp!J104)</f>
        <v/>
      </c>
      <c r="K104" s="1"/>
    </row>
    <row r="105" spans="1:12" x14ac:dyDescent="0.2">
      <c r="A105" s="16">
        <v>98</v>
      </c>
      <c r="B105" s="38" t="str">
        <f>Ktmp!B105</f>
        <v/>
      </c>
      <c r="C105" s="38" t="str">
        <f>Ktmp!C105</f>
        <v/>
      </c>
      <c r="D105" s="34" t="str">
        <f>Ktmp!D105</f>
        <v/>
      </c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>IF(Ktmp!J105="Экспресс",IF(I105&gt;=20,CONCATENATE("Груз-",Ktmp!J105),CONCATENATE("Почта-",Ktmp!J105)),Ktmp!J105)</f>
        <v/>
      </c>
      <c r="K105" s="1"/>
    </row>
    <row r="106" spans="1:12" x14ac:dyDescent="0.2">
      <c r="A106" s="16">
        <v>99</v>
      </c>
      <c r="B106" s="38" t="str">
        <f>Ktmp!B106</f>
        <v/>
      </c>
      <c r="C106" s="38" t="str">
        <f>Ktmp!C106</f>
        <v/>
      </c>
      <c r="D106" s="34" t="str">
        <f>Ktmp!D106</f>
        <v/>
      </c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>IF(Ktmp!J106="Экспресс",IF(I106&gt;=20,CONCATENATE("Груз-",Ktmp!J106),CONCATENATE("Почта-",Ktmp!J106)),Ktmp!J106)</f>
        <v/>
      </c>
      <c r="K106" s="1"/>
    </row>
    <row r="107" spans="1:12" ht="13.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 t="str">
        <f>Ktmp!D107</f>
        <v/>
      </c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>IF(Ktmp!J107="Экспресс",IF(I107&gt;=20,CONCATENATE("Груз-",Ktmp!J107),CONCATENATE("Почта-",Ktmp!J107)),Ktmp!J107)</f>
        <v/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8</v>
      </c>
      <c r="I108" s="19">
        <f>SUM(I8:I107)</f>
        <v>73.399999999999991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44299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3:F3"/>
    <mergeCell ref="C109:E109"/>
    <mergeCell ref="C1:D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L115"/>
  <sheetViews>
    <sheetView zoomScaleNormal="100" workbookViewId="0">
      <selection activeCell="J8" sqref="J8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44299</v>
      </c>
      <c r="D1" s="61"/>
      <c r="E1" s="5"/>
      <c r="F1" s="6"/>
      <c r="G1" s="41" t="s">
        <v>25</v>
      </c>
      <c r="H1" s="6"/>
      <c r="I1" s="6"/>
      <c r="J1" s="6"/>
    </row>
    <row r="2" spans="1:11" x14ac:dyDescent="0.2">
      <c r="A2" s="7" t="s">
        <v>3</v>
      </c>
      <c r="B2" s="8"/>
      <c r="C2" t="s">
        <v>19</v>
      </c>
      <c r="D2" s="41"/>
      <c r="E2" s="41"/>
      <c r="F2" s="7"/>
      <c r="G2" s="8" t="s">
        <v>19</v>
      </c>
      <c r="H2" s="8"/>
      <c r="I2" s="8"/>
      <c r="J2" s="7"/>
    </row>
    <row r="3" spans="1:11" ht="12.75" customHeight="1" x14ac:dyDescent="0.2">
      <c r="A3" s="7"/>
      <c r="B3" s="41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1" ht="14.25" customHeight="1" x14ac:dyDescent="0.2">
      <c r="A4" s="7" t="s">
        <v>4</v>
      </c>
      <c r="B4" s="8"/>
      <c r="C4" s="2" t="s">
        <v>20</v>
      </c>
      <c r="D4" s="41"/>
      <c r="E4" s="41"/>
      <c r="F4" s="7"/>
      <c r="G4" s="8" t="s">
        <v>26</v>
      </c>
      <c r="H4" s="10"/>
      <c r="I4" s="10"/>
      <c r="J4" s="7"/>
      <c r="K4" s="1"/>
    </row>
    <row r="5" spans="1:11" x14ac:dyDescent="0.2">
      <c r="A5" s="7"/>
      <c r="B5" s="41"/>
      <c r="C5" t="s">
        <v>18</v>
      </c>
      <c r="D5" s="41"/>
      <c r="E5" s="41"/>
      <c r="F5" s="7"/>
      <c r="G5" s="20"/>
      <c r="H5" s="7"/>
      <c r="I5" s="7"/>
      <c r="J5" s="7"/>
      <c r="K5" s="1"/>
    </row>
    <row r="6" spans="1:11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1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1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/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IF(I8&gt;20,"ГРУЗ-ЭКСПРЕСС","ПОЧТА-ЭКСПРЕСС")</f>
        <v>ПОЧТА-ЭКСПРЕСС</v>
      </c>
      <c r="K8" s="1"/>
    </row>
    <row r="9" spans="1:11" ht="25.5" x14ac:dyDescent="0.2">
      <c r="A9" s="16">
        <v>2</v>
      </c>
      <c r="B9" s="38" t="str">
        <f>Ktmp!B9</f>
        <v>24-1843-7450</v>
      </c>
      <c r="C9" s="38">
        <f>Ktmp!C9</f>
        <v>1912837</v>
      </c>
      <c r="D9" s="34"/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 t="shared" ref="J9:J72" si="0">IF(I9&gt;20,"ГРУЗ-ЭКСПРЕСС","ПОЧТА-ЭКСПРЕСС")</f>
        <v>ГРУЗ-ЭКСПРЕСС</v>
      </c>
      <c r="K9" s="1"/>
    </row>
    <row r="10" spans="1:11" ht="24" x14ac:dyDescent="0.2">
      <c r="A10" s="16">
        <v>3</v>
      </c>
      <c r="B10" s="38" t="str">
        <f>Ktmp!B10</f>
        <v/>
      </c>
      <c r="C10" s="38" t="str">
        <f>Ktmp!C10</f>
        <v/>
      </c>
      <c r="D10" s="34"/>
      <c r="E10" s="24" t="str">
        <f>Ktmp!E10</f>
        <v/>
      </c>
      <c r="F10" s="24" t="str">
        <f>Ktmp!F10</f>
        <v/>
      </c>
      <c r="G10" s="25" t="str">
        <f>Ktmp!G10</f>
        <v/>
      </c>
      <c r="H10" s="39" t="str">
        <f>Ktmp!H10</f>
        <v/>
      </c>
      <c r="I10" s="39" t="str">
        <f>Ktmp!I10</f>
        <v/>
      </c>
      <c r="J10" s="26" t="str">
        <f t="shared" si="0"/>
        <v>ГРУЗ-ЭКСПРЕСС</v>
      </c>
      <c r="K10" s="1"/>
    </row>
    <row r="11" spans="1:11" ht="24" x14ac:dyDescent="0.2">
      <c r="A11" s="16">
        <v>4</v>
      </c>
      <c r="B11" s="38" t="str">
        <f>Ktmp!B11</f>
        <v/>
      </c>
      <c r="C11" s="38" t="str">
        <f>Ktmp!C11</f>
        <v/>
      </c>
      <c r="D11" s="34"/>
      <c r="E11" s="24" t="str">
        <f>Ktmp!E11</f>
        <v/>
      </c>
      <c r="F11" s="24" t="str">
        <f>Ktmp!F11</f>
        <v/>
      </c>
      <c r="G11" s="25" t="str">
        <f>Ktmp!G11</f>
        <v/>
      </c>
      <c r="H11" s="39" t="str">
        <f>Ktmp!H11</f>
        <v/>
      </c>
      <c r="I11" s="39" t="str">
        <f>Ktmp!I11</f>
        <v/>
      </c>
      <c r="J11" s="26" t="str">
        <f t="shared" si="0"/>
        <v>ГРУЗ-ЭКСПРЕСС</v>
      </c>
      <c r="K11" s="1"/>
    </row>
    <row r="12" spans="1:11" ht="24" x14ac:dyDescent="0.2">
      <c r="A12" s="16">
        <v>5</v>
      </c>
      <c r="B12" s="38" t="str">
        <f>Ktmp!B12</f>
        <v/>
      </c>
      <c r="C12" s="38" t="str">
        <f>Ktmp!C12</f>
        <v/>
      </c>
      <c r="D12" s="34"/>
      <c r="E12" s="24" t="str">
        <f>Ktmp!E12</f>
        <v/>
      </c>
      <c r="F12" s="24" t="str">
        <f>Ktmp!F12</f>
        <v/>
      </c>
      <c r="G12" s="25" t="str">
        <f>Ktmp!G12</f>
        <v/>
      </c>
      <c r="H12" s="39" t="str">
        <f>Ktmp!H12</f>
        <v/>
      </c>
      <c r="I12" s="39" t="str">
        <f>Ktmp!I12</f>
        <v/>
      </c>
      <c r="J12" s="26" t="str">
        <f t="shared" si="0"/>
        <v>ГРУЗ-ЭКСПРЕСС</v>
      </c>
      <c r="K12" s="1"/>
    </row>
    <row r="13" spans="1:11" ht="24" x14ac:dyDescent="0.2">
      <c r="A13" s="16">
        <v>6</v>
      </c>
      <c r="B13" s="38" t="str">
        <f>Ktmp!B13</f>
        <v/>
      </c>
      <c r="C13" s="38" t="str">
        <f>Ktmp!C13</f>
        <v/>
      </c>
      <c r="D13" s="34"/>
      <c r="E13" s="24" t="str">
        <f>Ktmp!E13</f>
        <v/>
      </c>
      <c r="F13" s="24" t="str">
        <f>Ktmp!F13</f>
        <v/>
      </c>
      <c r="G13" s="25" t="str">
        <f>Ktmp!G13</f>
        <v/>
      </c>
      <c r="H13" s="39" t="str">
        <f>Ktmp!H13</f>
        <v/>
      </c>
      <c r="I13" s="39" t="str">
        <f>Ktmp!I13</f>
        <v/>
      </c>
      <c r="J13" s="26" t="str">
        <f t="shared" si="0"/>
        <v>ГРУЗ-ЭКСПРЕСС</v>
      </c>
      <c r="K13" s="1"/>
    </row>
    <row r="14" spans="1:11" ht="24" x14ac:dyDescent="0.2">
      <c r="A14" s="16">
        <v>7</v>
      </c>
      <c r="B14" s="38" t="str">
        <f>Ktmp!B14</f>
        <v/>
      </c>
      <c r="C14" s="38" t="str">
        <f>Ktmp!C14</f>
        <v/>
      </c>
      <c r="D14" s="34"/>
      <c r="E14" s="24" t="str">
        <f>Ktmp!E14</f>
        <v/>
      </c>
      <c r="F14" s="24" t="str">
        <f>Ktmp!F14</f>
        <v/>
      </c>
      <c r="G14" s="25" t="str">
        <f>Ktmp!G14</f>
        <v/>
      </c>
      <c r="H14" s="39" t="str">
        <f>Ktmp!H14</f>
        <v/>
      </c>
      <c r="I14" s="39" t="str">
        <f>Ktmp!I14</f>
        <v/>
      </c>
      <c r="J14" s="26" t="str">
        <f t="shared" si="0"/>
        <v>ГРУЗ-ЭКСПРЕСС</v>
      </c>
      <c r="K14" s="1"/>
    </row>
    <row r="15" spans="1:11" ht="24" x14ac:dyDescent="0.2">
      <c r="A15" s="16">
        <v>8</v>
      </c>
      <c r="B15" s="38" t="str">
        <f>Ktmp!B15</f>
        <v/>
      </c>
      <c r="C15" s="38" t="str">
        <f>Ktmp!C15</f>
        <v/>
      </c>
      <c r="D15" s="34"/>
      <c r="E15" s="24" t="str">
        <f>Ktmp!E15</f>
        <v/>
      </c>
      <c r="F15" s="24" t="str">
        <f>Ktmp!F15</f>
        <v/>
      </c>
      <c r="G15" s="25" t="str">
        <f>Ktmp!G15</f>
        <v/>
      </c>
      <c r="H15" s="39" t="str">
        <f>Ktmp!H15</f>
        <v/>
      </c>
      <c r="I15" s="39" t="str">
        <f>Ktmp!I15</f>
        <v/>
      </c>
      <c r="J15" s="26" t="str">
        <f t="shared" si="0"/>
        <v>ГРУЗ-ЭКСПРЕСС</v>
      </c>
      <c r="K15" s="1"/>
    </row>
    <row r="16" spans="1:11" ht="24" x14ac:dyDescent="0.2">
      <c r="A16" s="16">
        <v>9</v>
      </c>
      <c r="B16" s="38" t="str">
        <f>Ktmp!B16</f>
        <v/>
      </c>
      <c r="C16" s="38" t="str">
        <f>Ktmp!C16</f>
        <v/>
      </c>
      <c r="D16" s="34"/>
      <c r="E16" s="24" t="str">
        <f>Ktmp!E16</f>
        <v/>
      </c>
      <c r="F16" s="24" t="str">
        <f>Ktmp!F16</f>
        <v/>
      </c>
      <c r="G16" s="25" t="str">
        <f>Ktmp!G16</f>
        <v/>
      </c>
      <c r="H16" s="39" t="str">
        <f>Ktmp!H16</f>
        <v/>
      </c>
      <c r="I16" s="39" t="str">
        <f>Ktmp!I16</f>
        <v/>
      </c>
      <c r="J16" s="26" t="str">
        <f t="shared" si="0"/>
        <v>ГРУЗ-ЭКСПРЕСС</v>
      </c>
      <c r="K16" s="1"/>
    </row>
    <row r="17" spans="1:11" ht="24" x14ac:dyDescent="0.2">
      <c r="A17" s="16">
        <v>10</v>
      </c>
      <c r="B17" s="38" t="str">
        <f>Ktmp!B17</f>
        <v/>
      </c>
      <c r="C17" s="38" t="str">
        <f>Ktmp!C17</f>
        <v/>
      </c>
      <c r="D17" s="34"/>
      <c r="E17" s="24" t="str">
        <f>Ktmp!E17</f>
        <v/>
      </c>
      <c r="F17" s="24" t="str">
        <f>Ktmp!F17</f>
        <v/>
      </c>
      <c r="G17" s="25" t="str">
        <f>Ktmp!G17</f>
        <v/>
      </c>
      <c r="H17" s="39" t="str">
        <f>Ktmp!H17</f>
        <v/>
      </c>
      <c r="I17" s="39" t="str">
        <f>Ktmp!I17</f>
        <v/>
      </c>
      <c r="J17" s="26" t="str">
        <f t="shared" si="0"/>
        <v>ГРУЗ-ЭКСПРЕСС</v>
      </c>
      <c r="K17" s="1"/>
    </row>
    <row r="18" spans="1:11" ht="24" x14ac:dyDescent="0.2">
      <c r="A18" s="16">
        <v>11</v>
      </c>
      <c r="B18" s="38" t="str">
        <f>Ktmp!B18</f>
        <v/>
      </c>
      <c r="C18" s="38" t="str">
        <f>Ktmp!C18</f>
        <v/>
      </c>
      <c r="D18" s="34"/>
      <c r="E18" s="24" t="str">
        <f>Ktmp!E18</f>
        <v/>
      </c>
      <c r="F18" s="24" t="str">
        <f>Ktmp!F18</f>
        <v/>
      </c>
      <c r="G18" s="25" t="str">
        <f>Ktmp!G18</f>
        <v/>
      </c>
      <c r="H18" s="39" t="str">
        <f>Ktmp!H18</f>
        <v/>
      </c>
      <c r="I18" s="39" t="str">
        <f>Ktmp!I18</f>
        <v/>
      </c>
      <c r="J18" s="26" t="str">
        <f t="shared" si="0"/>
        <v>ГРУЗ-ЭКСПРЕСС</v>
      </c>
      <c r="K18" s="1"/>
    </row>
    <row r="19" spans="1:11" ht="24" x14ac:dyDescent="0.2">
      <c r="A19" s="16">
        <v>12</v>
      </c>
      <c r="B19" s="38" t="str">
        <f>Ktmp!B19</f>
        <v/>
      </c>
      <c r="C19" s="38" t="str">
        <f>Ktmp!C19</f>
        <v/>
      </c>
      <c r="D19" s="34"/>
      <c r="E19" s="24" t="str">
        <f>Ktmp!E19</f>
        <v/>
      </c>
      <c r="F19" s="24" t="str">
        <f>Ktmp!F19</f>
        <v/>
      </c>
      <c r="G19" s="25" t="str">
        <f>Ktmp!G19</f>
        <v/>
      </c>
      <c r="H19" s="39" t="str">
        <f>Ktmp!H19</f>
        <v/>
      </c>
      <c r="I19" s="39" t="str">
        <f>Ktmp!I19</f>
        <v/>
      </c>
      <c r="J19" s="26" t="str">
        <f t="shared" si="0"/>
        <v>ГРУЗ-ЭКСПРЕСС</v>
      </c>
      <c r="K19" s="1"/>
    </row>
    <row r="20" spans="1:11" ht="24" x14ac:dyDescent="0.2">
      <c r="A20" s="16">
        <v>13</v>
      </c>
      <c r="B20" s="38" t="str">
        <f>Ktmp!B20</f>
        <v/>
      </c>
      <c r="C20" s="38" t="str">
        <f>Ktmp!C20</f>
        <v/>
      </c>
      <c r="D20" s="34"/>
      <c r="E20" s="24" t="str">
        <f>Ktmp!E20</f>
        <v/>
      </c>
      <c r="F20" s="24" t="str">
        <f>Ktmp!F20</f>
        <v/>
      </c>
      <c r="G20" s="25" t="str">
        <f>Ktmp!G20</f>
        <v/>
      </c>
      <c r="H20" s="39" t="str">
        <f>Ktmp!H20</f>
        <v/>
      </c>
      <c r="I20" s="39" t="str">
        <f>Ktmp!I20</f>
        <v/>
      </c>
      <c r="J20" s="26" t="str">
        <f t="shared" si="0"/>
        <v>ГРУЗ-ЭКСПРЕСС</v>
      </c>
      <c r="K20" s="1"/>
    </row>
    <row r="21" spans="1:11" ht="24" x14ac:dyDescent="0.2">
      <c r="A21" s="16">
        <v>14</v>
      </c>
      <c r="B21" s="38" t="str">
        <f>Ktmp!B21</f>
        <v/>
      </c>
      <c r="C21" s="38" t="str">
        <f>Ktmp!C21</f>
        <v/>
      </c>
      <c r="D21" s="34"/>
      <c r="E21" s="24" t="str">
        <f>Ktmp!E21</f>
        <v/>
      </c>
      <c r="F21" s="24" t="str">
        <f>Ktmp!F21</f>
        <v/>
      </c>
      <c r="G21" s="25" t="str">
        <f>Ktmp!G21</f>
        <v/>
      </c>
      <c r="H21" s="39" t="str">
        <f>Ktmp!H21</f>
        <v/>
      </c>
      <c r="I21" s="39" t="str">
        <f>Ktmp!I21</f>
        <v/>
      </c>
      <c r="J21" s="26" t="str">
        <f t="shared" si="0"/>
        <v>ГРУЗ-ЭКСПРЕСС</v>
      </c>
      <c r="K21" s="1"/>
    </row>
    <row r="22" spans="1:11" ht="24" x14ac:dyDescent="0.2">
      <c r="A22" s="16">
        <v>15</v>
      </c>
      <c r="B22" s="38" t="str">
        <f>Ktmp!B22</f>
        <v/>
      </c>
      <c r="C22" s="38" t="str">
        <f>Ktmp!C22</f>
        <v/>
      </c>
      <c r="D22" s="34"/>
      <c r="E22" s="24" t="str">
        <f>Ktmp!E22</f>
        <v/>
      </c>
      <c r="F22" s="24" t="str">
        <f>Ktmp!F22</f>
        <v/>
      </c>
      <c r="G22" s="25" t="str">
        <f>Ktmp!G22</f>
        <v/>
      </c>
      <c r="H22" s="39" t="str">
        <f>Ktmp!H22</f>
        <v/>
      </c>
      <c r="I22" s="39" t="str">
        <f>Ktmp!I22</f>
        <v/>
      </c>
      <c r="J22" s="26" t="str">
        <f t="shared" si="0"/>
        <v>ГРУЗ-ЭКСПРЕСС</v>
      </c>
      <c r="K22" s="1"/>
    </row>
    <row r="23" spans="1:11" ht="24" x14ac:dyDescent="0.2">
      <c r="A23" s="16">
        <v>16</v>
      </c>
      <c r="B23" s="38" t="str">
        <f>Ktmp!B23</f>
        <v/>
      </c>
      <c r="C23" s="38" t="str">
        <f>Ktmp!C23</f>
        <v/>
      </c>
      <c r="D23" s="34"/>
      <c r="E23" s="24" t="str">
        <f>Ktmp!E23</f>
        <v/>
      </c>
      <c r="F23" s="24" t="str">
        <f>Ktmp!F23</f>
        <v/>
      </c>
      <c r="G23" s="25" t="str">
        <f>Ktmp!G23</f>
        <v/>
      </c>
      <c r="H23" s="39" t="str">
        <f>Ktmp!H23</f>
        <v/>
      </c>
      <c r="I23" s="39" t="str">
        <f>Ktmp!I23</f>
        <v/>
      </c>
      <c r="J23" s="26" t="str">
        <f t="shared" si="0"/>
        <v>ГРУЗ-ЭКСПРЕСС</v>
      </c>
      <c r="K23" s="1"/>
    </row>
    <row r="24" spans="1:11" ht="24" x14ac:dyDescent="0.2">
      <c r="A24" s="16">
        <v>17</v>
      </c>
      <c r="B24" s="38" t="str">
        <f>Ktmp!B24</f>
        <v/>
      </c>
      <c r="C24" s="38" t="str">
        <f>Ktmp!C24</f>
        <v/>
      </c>
      <c r="D24" s="34"/>
      <c r="E24" s="24" t="str">
        <f>Ktmp!E24</f>
        <v/>
      </c>
      <c r="F24" s="24" t="str">
        <f>Ktmp!F24</f>
        <v/>
      </c>
      <c r="G24" s="25" t="str">
        <f>Ktmp!G24</f>
        <v/>
      </c>
      <c r="H24" s="39" t="str">
        <f>Ktmp!H24</f>
        <v/>
      </c>
      <c r="I24" s="39" t="str">
        <f>Ktmp!I24</f>
        <v/>
      </c>
      <c r="J24" s="26" t="str">
        <f t="shared" si="0"/>
        <v>ГРУЗ-ЭКСПРЕСС</v>
      </c>
      <c r="K24" s="1"/>
    </row>
    <row r="25" spans="1:11" ht="24" x14ac:dyDescent="0.2">
      <c r="A25" s="16">
        <v>18</v>
      </c>
      <c r="B25" s="38" t="str">
        <f>Ktmp!B25</f>
        <v/>
      </c>
      <c r="C25" s="38" t="str">
        <f>Ktmp!C25</f>
        <v/>
      </c>
      <c r="D25" s="34"/>
      <c r="E25" s="24" t="str">
        <f>Ktmp!E25</f>
        <v/>
      </c>
      <c r="F25" s="24" t="str">
        <f>Ktmp!F25</f>
        <v/>
      </c>
      <c r="G25" s="25" t="str">
        <f>Ktmp!G25</f>
        <v/>
      </c>
      <c r="H25" s="39" t="str">
        <f>Ktmp!H25</f>
        <v/>
      </c>
      <c r="I25" s="39" t="str">
        <f>Ktmp!I25</f>
        <v/>
      </c>
      <c r="J25" s="26" t="str">
        <f t="shared" si="0"/>
        <v>ГРУЗ-ЭКСПРЕСС</v>
      </c>
      <c r="K25" s="1"/>
    </row>
    <row r="26" spans="1:11" ht="24" x14ac:dyDescent="0.2">
      <c r="A26" s="16">
        <v>19</v>
      </c>
      <c r="B26" s="38" t="str">
        <f>Ktmp!B26</f>
        <v/>
      </c>
      <c r="C26" s="38" t="str">
        <f>Ktmp!C26</f>
        <v/>
      </c>
      <c r="D26" s="34"/>
      <c r="E26" s="24" t="str">
        <f>Ktmp!E26</f>
        <v/>
      </c>
      <c r="F26" s="24" t="str">
        <f>Ktmp!F26</f>
        <v/>
      </c>
      <c r="G26" s="25" t="str">
        <f>Ktmp!G26</f>
        <v/>
      </c>
      <c r="H26" s="39" t="str">
        <f>Ktmp!H26</f>
        <v/>
      </c>
      <c r="I26" s="39" t="str">
        <f>Ktmp!I26</f>
        <v/>
      </c>
      <c r="J26" s="26" t="str">
        <f t="shared" si="0"/>
        <v>ГРУЗ-ЭКСПРЕСС</v>
      </c>
      <c r="K26" s="1"/>
    </row>
    <row r="27" spans="1:11" ht="24" x14ac:dyDescent="0.2">
      <c r="A27" s="16">
        <v>20</v>
      </c>
      <c r="B27" s="38" t="str">
        <f>Ktmp!B27</f>
        <v/>
      </c>
      <c r="C27" s="38" t="str">
        <f>Ktmp!C27</f>
        <v/>
      </c>
      <c r="D27" s="34"/>
      <c r="E27" s="24" t="str">
        <f>Ktmp!E27</f>
        <v/>
      </c>
      <c r="F27" s="24" t="str">
        <f>Ktmp!F27</f>
        <v/>
      </c>
      <c r="G27" s="25" t="str">
        <f>Ktmp!G27</f>
        <v/>
      </c>
      <c r="H27" s="39" t="str">
        <f>Ktmp!H27</f>
        <v/>
      </c>
      <c r="I27" s="39" t="str">
        <f>Ktmp!I27</f>
        <v/>
      </c>
      <c r="J27" s="26" t="str">
        <f t="shared" si="0"/>
        <v>ГРУЗ-ЭКСПРЕСС</v>
      </c>
      <c r="K27" s="1"/>
    </row>
    <row r="28" spans="1:11" ht="24" x14ac:dyDescent="0.2">
      <c r="A28" s="16">
        <v>21</v>
      </c>
      <c r="B28" s="38" t="str">
        <f>Ktmp!B28</f>
        <v/>
      </c>
      <c r="C28" s="38" t="str">
        <f>Ktmp!C28</f>
        <v/>
      </c>
      <c r="D28" s="34"/>
      <c r="E28" s="24" t="str">
        <f>Ktmp!E28</f>
        <v/>
      </c>
      <c r="F28" s="24" t="str">
        <f>Ktmp!F28</f>
        <v/>
      </c>
      <c r="G28" s="25" t="str">
        <f>Ktmp!G28</f>
        <v/>
      </c>
      <c r="H28" s="39" t="str">
        <f>Ktmp!H28</f>
        <v/>
      </c>
      <c r="I28" s="39" t="str">
        <f>Ktmp!I28</f>
        <v/>
      </c>
      <c r="J28" s="26" t="str">
        <f t="shared" si="0"/>
        <v>ГРУЗ-ЭКСПРЕСС</v>
      </c>
      <c r="K28" s="1"/>
    </row>
    <row r="29" spans="1:11" ht="24" x14ac:dyDescent="0.2">
      <c r="A29" s="16">
        <v>22</v>
      </c>
      <c r="B29" s="38" t="str">
        <f>Ktmp!B29</f>
        <v/>
      </c>
      <c r="C29" s="38" t="str">
        <f>Ktmp!C29</f>
        <v/>
      </c>
      <c r="D29" s="34"/>
      <c r="E29" s="24" t="str">
        <f>Ktmp!E29</f>
        <v/>
      </c>
      <c r="F29" s="24" t="str">
        <f>Ktmp!F29</f>
        <v/>
      </c>
      <c r="G29" s="25" t="str">
        <f>Ktmp!G29</f>
        <v/>
      </c>
      <c r="H29" s="39" t="str">
        <f>Ktmp!H29</f>
        <v/>
      </c>
      <c r="I29" s="39" t="str">
        <f>Ktmp!I29</f>
        <v/>
      </c>
      <c r="J29" s="26" t="str">
        <f t="shared" si="0"/>
        <v>ГРУЗ-ЭКСПРЕСС</v>
      </c>
      <c r="K29" s="1"/>
    </row>
    <row r="30" spans="1:11" ht="24" x14ac:dyDescent="0.2">
      <c r="A30" s="16">
        <v>23</v>
      </c>
      <c r="B30" s="38" t="str">
        <f>Ktmp!B30</f>
        <v/>
      </c>
      <c r="C30" s="38" t="str">
        <f>Ktmp!C30</f>
        <v/>
      </c>
      <c r="D30" s="34"/>
      <c r="E30" s="24" t="str">
        <f>Ktmp!E30</f>
        <v/>
      </c>
      <c r="F30" s="24" t="str">
        <f>Ktmp!F30</f>
        <v/>
      </c>
      <c r="G30" s="25" t="str">
        <f>Ktmp!G30</f>
        <v/>
      </c>
      <c r="H30" s="39" t="str">
        <f>Ktmp!H30</f>
        <v/>
      </c>
      <c r="I30" s="39" t="str">
        <f>Ktmp!I30</f>
        <v/>
      </c>
      <c r="J30" s="26" t="str">
        <f t="shared" si="0"/>
        <v>ГРУЗ-ЭКСПРЕСС</v>
      </c>
      <c r="K30" s="1"/>
    </row>
    <row r="31" spans="1:11" ht="24" x14ac:dyDescent="0.2">
      <c r="A31" s="16">
        <v>24</v>
      </c>
      <c r="B31" s="38" t="str">
        <f>Ktmp!B31</f>
        <v/>
      </c>
      <c r="C31" s="38" t="str">
        <f>Ktmp!C31</f>
        <v/>
      </c>
      <c r="D31" s="34"/>
      <c r="E31" s="24" t="str">
        <f>Ktmp!E31</f>
        <v/>
      </c>
      <c r="F31" s="24" t="str">
        <f>Ktmp!F31</f>
        <v/>
      </c>
      <c r="G31" s="25" t="str">
        <f>Ktmp!G31</f>
        <v/>
      </c>
      <c r="H31" s="39" t="str">
        <f>Ktmp!H31</f>
        <v/>
      </c>
      <c r="I31" s="39" t="str">
        <f>Ktmp!I31</f>
        <v/>
      </c>
      <c r="J31" s="26" t="str">
        <f t="shared" si="0"/>
        <v>ГРУЗ-ЭКСПРЕСС</v>
      </c>
      <c r="K31" s="1"/>
    </row>
    <row r="32" spans="1:11" ht="24" x14ac:dyDescent="0.2">
      <c r="A32" s="16">
        <v>25</v>
      </c>
      <c r="B32" s="38" t="str">
        <f>Ktmp!B32</f>
        <v/>
      </c>
      <c r="C32" s="38" t="str">
        <f>Ktmp!C32</f>
        <v/>
      </c>
      <c r="D32" s="34"/>
      <c r="E32" s="24" t="str">
        <f>Ktmp!E32</f>
        <v/>
      </c>
      <c r="F32" s="24" t="str">
        <f>Ktmp!F32</f>
        <v/>
      </c>
      <c r="G32" s="25" t="str">
        <f>Ktmp!G32</f>
        <v/>
      </c>
      <c r="H32" s="39" t="str">
        <f>Ktmp!H32</f>
        <v/>
      </c>
      <c r="I32" s="39" t="str">
        <f>Ktmp!I32</f>
        <v/>
      </c>
      <c r="J32" s="26" t="str">
        <f t="shared" si="0"/>
        <v>ГРУЗ-ЭКСПРЕСС</v>
      </c>
      <c r="K32" s="1"/>
    </row>
    <row r="33" spans="1:11" ht="24" x14ac:dyDescent="0.2">
      <c r="A33" s="16">
        <v>26</v>
      </c>
      <c r="B33" s="38" t="str">
        <f>Ktmp!B33</f>
        <v/>
      </c>
      <c r="C33" s="38" t="str">
        <f>Ktmp!C33</f>
        <v/>
      </c>
      <c r="D33" s="34"/>
      <c r="E33" s="24" t="str">
        <f>Ktmp!E33</f>
        <v/>
      </c>
      <c r="F33" s="24" t="str">
        <f>Ktmp!F33</f>
        <v/>
      </c>
      <c r="G33" s="25" t="str">
        <f>Ktmp!G33</f>
        <v/>
      </c>
      <c r="H33" s="39" t="str">
        <f>Ktmp!H33</f>
        <v/>
      </c>
      <c r="I33" s="39" t="str">
        <f>Ktmp!I33</f>
        <v/>
      </c>
      <c r="J33" s="26" t="str">
        <f t="shared" si="0"/>
        <v>ГРУЗ-ЭКСПРЕСС</v>
      </c>
      <c r="K33" s="1"/>
    </row>
    <row r="34" spans="1:11" ht="24" x14ac:dyDescent="0.2">
      <c r="A34" s="16">
        <v>27</v>
      </c>
      <c r="B34" s="38" t="str">
        <f>Ktmp!B34</f>
        <v/>
      </c>
      <c r="C34" s="38" t="str">
        <f>Ktmp!C34</f>
        <v/>
      </c>
      <c r="D34" s="34"/>
      <c r="E34" s="24" t="str">
        <f>Ktmp!E34</f>
        <v/>
      </c>
      <c r="F34" s="24" t="str">
        <f>Ktmp!F34</f>
        <v/>
      </c>
      <c r="G34" s="25" t="str">
        <f>Ktmp!G34</f>
        <v/>
      </c>
      <c r="H34" s="39" t="str">
        <f>Ktmp!H34</f>
        <v/>
      </c>
      <c r="I34" s="39" t="str">
        <f>Ktmp!I34</f>
        <v/>
      </c>
      <c r="J34" s="26" t="str">
        <f t="shared" si="0"/>
        <v>ГРУЗ-ЭКСПРЕСС</v>
      </c>
      <c r="K34" s="1"/>
    </row>
    <row r="35" spans="1:11" ht="24" x14ac:dyDescent="0.2">
      <c r="A35" s="16">
        <v>28</v>
      </c>
      <c r="B35" s="38" t="str">
        <f>Ktmp!B35</f>
        <v/>
      </c>
      <c r="C35" s="38" t="str">
        <f>Ktmp!C35</f>
        <v/>
      </c>
      <c r="D35" s="34"/>
      <c r="E35" s="24" t="str">
        <f>Ktmp!E35</f>
        <v/>
      </c>
      <c r="F35" s="24" t="str">
        <f>Ktmp!F35</f>
        <v/>
      </c>
      <c r="G35" s="25" t="str">
        <f>Ktmp!G35</f>
        <v/>
      </c>
      <c r="H35" s="39" t="str">
        <f>Ktmp!H35</f>
        <v/>
      </c>
      <c r="I35" s="39" t="str">
        <f>Ktmp!I35</f>
        <v/>
      </c>
      <c r="J35" s="26" t="str">
        <f t="shared" si="0"/>
        <v>ГРУЗ-ЭКСПРЕСС</v>
      </c>
      <c r="K35" s="1"/>
    </row>
    <row r="36" spans="1:11" ht="24" x14ac:dyDescent="0.2">
      <c r="A36" s="16">
        <v>29</v>
      </c>
      <c r="B36" s="38" t="str">
        <f>Ktmp!B36</f>
        <v/>
      </c>
      <c r="C36" s="38" t="str">
        <f>Ktmp!C36</f>
        <v/>
      </c>
      <c r="D36" s="34"/>
      <c r="E36" s="24" t="str">
        <f>Ktmp!E36</f>
        <v/>
      </c>
      <c r="F36" s="24" t="str">
        <f>Ktmp!F36</f>
        <v/>
      </c>
      <c r="G36" s="25" t="str">
        <f>Ktmp!G36</f>
        <v/>
      </c>
      <c r="H36" s="39" t="str">
        <f>Ktmp!H36</f>
        <v/>
      </c>
      <c r="I36" s="39" t="str">
        <f>Ktmp!I36</f>
        <v/>
      </c>
      <c r="J36" s="26" t="str">
        <f t="shared" si="0"/>
        <v>ГРУЗ-ЭКСПРЕСС</v>
      </c>
      <c r="K36" s="1"/>
    </row>
    <row r="37" spans="1:11" ht="24" x14ac:dyDescent="0.2">
      <c r="A37" s="16">
        <v>30</v>
      </c>
      <c r="B37" s="38" t="str">
        <f>Ktmp!B37</f>
        <v/>
      </c>
      <c r="C37" s="38" t="str">
        <f>Ktmp!C37</f>
        <v/>
      </c>
      <c r="D37" s="34"/>
      <c r="E37" s="24" t="str">
        <f>Ktmp!E37</f>
        <v/>
      </c>
      <c r="F37" s="24" t="str">
        <f>Ktmp!F37</f>
        <v/>
      </c>
      <c r="G37" s="25" t="str">
        <f>Ktmp!G37</f>
        <v/>
      </c>
      <c r="H37" s="39" t="str">
        <f>Ktmp!H37</f>
        <v/>
      </c>
      <c r="I37" s="39" t="str">
        <f>Ktmp!I37</f>
        <v/>
      </c>
      <c r="J37" s="26" t="str">
        <f t="shared" si="0"/>
        <v>ГРУЗ-ЭКСПРЕСС</v>
      </c>
      <c r="K37" s="1"/>
    </row>
    <row r="38" spans="1:11" ht="24" x14ac:dyDescent="0.2">
      <c r="A38" s="16">
        <v>31</v>
      </c>
      <c r="B38" s="38" t="str">
        <f>Ktmp!B38</f>
        <v/>
      </c>
      <c r="C38" s="38" t="str">
        <f>Ktmp!C38</f>
        <v/>
      </c>
      <c r="D38" s="34"/>
      <c r="E38" s="24" t="str">
        <f>Ktmp!E38</f>
        <v/>
      </c>
      <c r="F38" s="24" t="str">
        <f>Ktmp!F38</f>
        <v/>
      </c>
      <c r="G38" s="25" t="str">
        <f>Ktmp!G38</f>
        <v/>
      </c>
      <c r="H38" s="39" t="str">
        <f>Ktmp!H38</f>
        <v/>
      </c>
      <c r="I38" s="39" t="str">
        <f>Ktmp!I38</f>
        <v/>
      </c>
      <c r="J38" s="26" t="str">
        <f t="shared" si="0"/>
        <v>ГРУЗ-ЭКСПРЕСС</v>
      </c>
      <c r="K38" s="1"/>
    </row>
    <row r="39" spans="1:11" ht="24" x14ac:dyDescent="0.2">
      <c r="A39" s="16">
        <v>32</v>
      </c>
      <c r="B39" s="38" t="str">
        <f>Ktmp!B39</f>
        <v/>
      </c>
      <c r="C39" s="38" t="str">
        <f>Ktmp!C39</f>
        <v/>
      </c>
      <c r="D39" s="34"/>
      <c r="E39" s="24" t="str">
        <f>Ktmp!E39</f>
        <v/>
      </c>
      <c r="F39" s="24" t="str">
        <f>Ktmp!F39</f>
        <v/>
      </c>
      <c r="G39" s="25" t="str">
        <f>Ktmp!G39</f>
        <v/>
      </c>
      <c r="H39" s="39" t="str">
        <f>Ktmp!H39</f>
        <v/>
      </c>
      <c r="I39" s="39" t="str">
        <f>Ktmp!I39</f>
        <v/>
      </c>
      <c r="J39" s="26" t="str">
        <f t="shared" si="0"/>
        <v>ГРУЗ-ЭКСПРЕСС</v>
      </c>
      <c r="K39" s="1"/>
    </row>
    <row r="40" spans="1:11" ht="24" x14ac:dyDescent="0.2">
      <c r="A40" s="16">
        <v>33</v>
      </c>
      <c r="B40" s="38" t="str">
        <f>Ktmp!B40</f>
        <v/>
      </c>
      <c r="C40" s="38" t="str">
        <f>Ktmp!C40</f>
        <v/>
      </c>
      <c r="D40" s="34"/>
      <c r="E40" s="24" t="str">
        <f>Ktmp!E40</f>
        <v/>
      </c>
      <c r="F40" s="24" t="str">
        <f>Ktmp!F40</f>
        <v/>
      </c>
      <c r="G40" s="25" t="str">
        <f>Ktmp!G40</f>
        <v/>
      </c>
      <c r="H40" s="39" t="str">
        <f>Ktmp!H40</f>
        <v/>
      </c>
      <c r="I40" s="39" t="str">
        <f>Ktmp!I40</f>
        <v/>
      </c>
      <c r="J40" s="26" t="str">
        <f t="shared" si="0"/>
        <v>ГРУЗ-ЭКСПРЕСС</v>
      </c>
      <c r="K40" s="1"/>
    </row>
    <row r="41" spans="1:11" ht="24" x14ac:dyDescent="0.2">
      <c r="A41" s="16">
        <v>34</v>
      </c>
      <c r="B41" s="38" t="str">
        <f>Ktmp!B41</f>
        <v/>
      </c>
      <c r="C41" s="38" t="str">
        <f>Ktmp!C41</f>
        <v/>
      </c>
      <c r="D41" s="34"/>
      <c r="E41" s="24" t="str">
        <f>Ktmp!E41</f>
        <v/>
      </c>
      <c r="F41" s="24" t="str">
        <f>Ktmp!F41</f>
        <v/>
      </c>
      <c r="G41" s="25" t="str">
        <f>Ktmp!G41</f>
        <v/>
      </c>
      <c r="H41" s="39" t="str">
        <f>Ktmp!H41</f>
        <v/>
      </c>
      <c r="I41" s="39" t="str">
        <f>Ktmp!I41</f>
        <v/>
      </c>
      <c r="J41" s="26" t="str">
        <f t="shared" si="0"/>
        <v>ГРУЗ-ЭКСПРЕСС</v>
      </c>
      <c r="K41" s="1"/>
    </row>
    <row r="42" spans="1:11" ht="24" x14ac:dyDescent="0.2">
      <c r="A42" s="16">
        <v>35</v>
      </c>
      <c r="B42" s="38" t="str">
        <f>Ktmp!B42</f>
        <v/>
      </c>
      <c r="C42" s="38" t="str">
        <f>Ktmp!C42</f>
        <v/>
      </c>
      <c r="D42" s="34"/>
      <c r="E42" s="24" t="str">
        <f>Ktmp!E42</f>
        <v/>
      </c>
      <c r="F42" s="24" t="str">
        <f>Ktmp!F42</f>
        <v/>
      </c>
      <c r="G42" s="25" t="str">
        <f>Ktmp!G42</f>
        <v/>
      </c>
      <c r="H42" s="39" t="str">
        <f>Ktmp!H42</f>
        <v/>
      </c>
      <c r="I42" s="39" t="str">
        <f>Ktmp!I42</f>
        <v/>
      </c>
      <c r="J42" s="26" t="str">
        <f t="shared" si="0"/>
        <v>ГРУЗ-ЭКСПРЕСС</v>
      </c>
      <c r="K42" s="1"/>
    </row>
    <row r="43" spans="1:11" ht="24" x14ac:dyDescent="0.2">
      <c r="A43" s="16">
        <v>36</v>
      </c>
      <c r="B43" s="38" t="str">
        <f>Ktmp!B43</f>
        <v/>
      </c>
      <c r="C43" s="38" t="str">
        <f>Ktmp!C43</f>
        <v/>
      </c>
      <c r="D43" s="34"/>
      <c r="E43" s="24" t="str">
        <f>Ktmp!E43</f>
        <v/>
      </c>
      <c r="F43" s="24" t="str">
        <f>Ktmp!F43</f>
        <v/>
      </c>
      <c r="G43" s="25" t="str">
        <f>Ktmp!G43</f>
        <v/>
      </c>
      <c r="H43" s="39" t="str">
        <f>Ktmp!H43</f>
        <v/>
      </c>
      <c r="I43" s="39" t="str">
        <f>Ktmp!I43</f>
        <v/>
      </c>
      <c r="J43" s="26" t="str">
        <f t="shared" si="0"/>
        <v>ГРУЗ-ЭКСПРЕСС</v>
      </c>
      <c r="K43" s="1"/>
    </row>
    <row r="44" spans="1:11" ht="24" x14ac:dyDescent="0.2">
      <c r="A44" s="16">
        <v>37</v>
      </c>
      <c r="B44" s="38" t="str">
        <f>Ktmp!B44</f>
        <v/>
      </c>
      <c r="C44" s="38" t="str">
        <f>Ktmp!C44</f>
        <v/>
      </c>
      <c r="D44" s="34"/>
      <c r="E44" s="24" t="str">
        <f>Ktmp!E44</f>
        <v/>
      </c>
      <c r="F44" s="24" t="str">
        <f>Ktmp!F44</f>
        <v/>
      </c>
      <c r="G44" s="25" t="str">
        <f>Ktmp!G44</f>
        <v/>
      </c>
      <c r="H44" s="39" t="str">
        <f>Ktmp!H44</f>
        <v/>
      </c>
      <c r="I44" s="39" t="str">
        <f>Ktmp!I44</f>
        <v/>
      </c>
      <c r="J44" s="26" t="str">
        <f t="shared" si="0"/>
        <v>ГРУЗ-ЭКСПРЕСС</v>
      </c>
      <c r="K44" s="1"/>
    </row>
    <row r="45" spans="1:11" ht="24" x14ac:dyDescent="0.2">
      <c r="A45" s="16">
        <v>38</v>
      </c>
      <c r="B45" s="38" t="str">
        <f>Ktmp!B45</f>
        <v/>
      </c>
      <c r="C45" s="38" t="str">
        <f>Ktmp!C45</f>
        <v/>
      </c>
      <c r="D45" s="34"/>
      <c r="E45" s="24" t="str">
        <f>Ktmp!E45</f>
        <v/>
      </c>
      <c r="F45" s="24" t="str">
        <f>Ktmp!F45</f>
        <v/>
      </c>
      <c r="G45" s="25" t="str">
        <f>Ktmp!G45</f>
        <v/>
      </c>
      <c r="H45" s="39" t="str">
        <f>Ktmp!H45</f>
        <v/>
      </c>
      <c r="I45" s="39" t="str">
        <f>Ktmp!I45</f>
        <v/>
      </c>
      <c r="J45" s="26" t="str">
        <f t="shared" si="0"/>
        <v>ГРУЗ-ЭКСПРЕСС</v>
      </c>
      <c r="K45" s="1"/>
    </row>
    <row r="46" spans="1:11" ht="24" x14ac:dyDescent="0.2">
      <c r="A46" s="16">
        <v>39</v>
      </c>
      <c r="B46" s="38" t="str">
        <f>Ktmp!B46</f>
        <v/>
      </c>
      <c r="C46" s="38" t="str">
        <f>Ktmp!C46</f>
        <v/>
      </c>
      <c r="D46" s="34"/>
      <c r="E46" s="24" t="str">
        <f>Ktmp!E46</f>
        <v/>
      </c>
      <c r="F46" s="24" t="str">
        <f>Ktmp!F46</f>
        <v/>
      </c>
      <c r="G46" s="25" t="str">
        <f>Ktmp!G46</f>
        <v/>
      </c>
      <c r="H46" s="39" t="str">
        <f>Ktmp!H46</f>
        <v/>
      </c>
      <c r="I46" s="39" t="str">
        <f>Ktmp!I46</f>
        <v/>
      </c>
      <c r="J46" s="26" t="str">
        <f t="shared" si="0"/>
        <v>ГРУЗ-ЭКСПРЕСС</v>
      </c>
      <c r="K46" s="1"/>
    </row>
    <row r="47" spans="1:11" ht="24" x14ac:dyDescent="0.2">
      <c r="A47" s="16">
        <v>40</v>
      </c>
      <c r="B47" s="38" t="str">
        <f>Ktmp!B47</f>
        <v/>
      </c>
      <c r="C47" s="38" t="str">
        <f>Ktmp!C47</f>
        <v/>
      </c>
      <c r="D47" s="34"/>
      <c r="E47" s="24" t="str">
        <f>Ktmp!E47</f>
        <v/>
      </c>
      <c r="F47" s="24" t="str">
        <f>Ktmp!F47</f>
        <v/>
      </c>
      <c r="G47" s="25" t="str">
        <f>Ktmp!G47</f>
        <v/>
      </c>
      <c r="H47" s="39" t="str">
        <f>Ktmp!H47</f>
        <v/>
      </c>
      <c r="I47" s="39" t="str">
        <f>Ktmp!I47</f>
        <v/>
      </c>
      <c r="J47" s="26" t="str">
        <f t="shared" si="0"/>
        <v>ГРУЗ-ЭКСПРЕСС</v>
      </c>
      <c r="K47" s="1"/>
    </row>
    <row r="48" spans="1:11" ht="24" x14ac:dyDescent="0.2">
      <c r="A48" s="16">
        <v>41</v>
      </c>
      <c r="B48" s="38" t="str">
        <f>Ktmp!B48</f>
        <v/>
      </c>
      <c r="C48" s="38" t="str">
        <f>Ktmp!C48</f>
        <v/>
      </c>
      <c r="D48" s="34"/>
      <c r="E48" s="24" t="str">
        <f>Ktmp!E48</f>
        <v/>
      </c>
      <c r="F48" s="24" t="str">
        <f>Ktmp!F48</f>
        <v/>
      </c>
      <c r="G48" s="25" t="str">
        <f>Ktmp!G48</f>
        <v/>
      </c>
      <c r="H48" s="39" t="str">
        <f>Ktmp!H48</f>
        <v/>
      </c>
      <c r="I48" s="39" t="str">
        <f>Ktmp!I48</f>
        <v/>
      </c>
      <c r="J48" s="26" t="str">
        <f t="shared" si="0"/>
        <v>ГРУЗ-ЭКСПРЕСС</v>
      </c>
      <c r="K48" s="1"/>
    </row>
    <row r="49" spans="1:11" ht="24" x14ac:dyDescent="0.2">
      <c r="A49" s="16">
        <v>42</v>
      </c>
      <c r="B49" s="38" t="str">
        <f>Ktmp!B49</f>
        <v/>
      </c>
      <c r="C49" s="38" t="str">
        <f>Ktmp!C49</f>
        <v/>
      </c>
      <c r="D49" s="34"/>
      <c r="E49" s="24" t="str">
        <f>Ktmp!E49</f>
        <v/>
      </c>
      <c r="F49" s="24" t="str">
        <f>Ktmp!F49</f>
        <v/>
      </c>
      <c r="G49" s="25" t="str">
        <f>Ktmp!G49</f>
        <v/>
      </c>
      <c r="H49" s="39" t="str">
        <f>Ktmp!H49</f>
        <v/>
      </c>
      <c r="I49" s="39" t="str">
        <f>Ktmp!I49</f>
        <v/>
      </c>
      <c r="J49" s="26" t="str">
        <f t="shared" si="0"/>
        <v>ГРУЗ-ЭКСПРЕСС</v>
      </c>
      <c r="K49" s="1"/>
    </row>
    <row r="50" spans="1:11" ht="24" x14ac:dyDescent="0.2">
      <c r="A50" s="16">
        <v>43</v>
      </c>
      <c r="B50" s="38" t="str">
        <f>Ktmp!B50</f>
        <v/>
      </c>
      <c r="C50" s="38" t="str">
        <f>Ktmp!C50</f>
        <v/>
      </c>
      <c r="D50" s="34"/>
      <c r="E50" s="24" t="str">
        <f>Ktmp!E50</f>
        <v/>
      </c>
      <c r="F50" s="24" t="str">
        <f>Ktmp!F50</f>
        <v/>
      </c>
      <c r="G50" s="25" t="str">
        <f>Ktmp!G50</f>
        <v/>
      </c>
      <c r="H50" s="39" t="str">
        <f>Ktmp!H50</f>
        <v/>
      </c>
      <c r="I50" s="39" t="str">
        <f>Ktmp!I50</f>
        <v/>
      </c>
      <c r="J50" s="26" t="str">
        <f t="shared" si="0"/>
        <v>ГРУЗ-ЭКСПРЕСС</v>
      </c>
      <c r="K50" s="1"/>
    </row>
    <row r="51" spans="1:11" ht="24" x14ac:dyDescent="0.2">
      <c r="A51" s="16">
        <v>44</v>
      </c>
      <c r="B51" s="38" t="str">
        <f>Ktmp!B51</f>
        <v/>
      </c>
      <c r="C51" s="38" t="str">
        <f>Ktmp!C51</f>
        <v/>
      </c>
      <c r="D51" s="34"/>
      <c r="E51" s="24" t="str">
        <f>Ktmp!E51</f>
        <v/>
      </c>
      <c r="F51" s="24" t="str">
        <f>Ktmp!F51</f>
        <v/>
      </c>
      <c r="G51" s="25" t="str">
        <f>Ktmp!G51</f>
        <v/>
      </c>
      <c r="H51" s="39" t="str">
        <f>Ktmp!H51</f>
        <v/>
      </c>
      <c r="I51" s="39" t="str">
        <f>Ktmp!I51</f>
        <v/>
      </c>
      <c r="J51" s="26" t="str">
        <f t="shared" si="0"/>
        <v>ГРУЗ-ЭКСПРЕСС</v>
      </c>
      <c r="K51" s="1"/>
    </row>
    <row r="52" spans="1:11" ht="24" x14ac:dyDescent="0.2">
      <c r="A52" s="16">
        <v>45</v>
      </c>
      <c r="B52" s="38" t="str">
        <f>Ktmp!B52</f>
        <v/>
      </c>
      <c r="C52" s="38" t="str">
        <f>Ktmp!C52</f>
        <v/>
      </c>
      <c r="D52" s="34"/>
      <c r="E52" s="24" t="str">
        <f>Ktmp!E52</f>
        <v/>
      </c>
      <c r="F52" s="24" t="str">
        <f>Ktmp!F52</f>
        <v/>
      </c>
      <c r="G52" s="25" t="str">
        <f>Ktmp!G52</f>
        <v/>
      </c>
      <c r="H52" s="39" t="str">
        <f>Ktmp!H52</f>
        <v/>
      </c>
      <c r="I52" s="39" t="str">
        <f>Ktmp!I52</f>
        <v/>
      </c>
      <c r="J52" s="26" t="str">
        <f t="shared" si="0"/>
        <v>ГРУЗ-ЭКСПРЕСС</v>
      </c>
      <c r="K52" s="1"/>
    </row>
    <row r="53" spans="1:11" ht="24" x14ac:dyDescent="0.2">
      <c r="A53" s="16">
        <v>46</v>
      </c>
      <c r="B53" s="38" t="str">
        <f>Ktmp!B53</f>
        <v/>
      </c>
      <c r="C53" s="38" t="str">
        <f>Ktmp!C53</f>
        <v/>
      </c>
      <c r="D53" s="34"/>
      <c r="E53" s="24" t="str">
        <f>Ktmp!E53</f>
        <v/>
      </c>
      <c r="F53" s="24" t="str">
        <f>Ktmp!F53</f>
        <v/>
      </c>
      <c r="G53" s="25" t="str">
        <f>Ktmp!G53</f>
        <v/>
      </c>
      <c r="H53" s="39" t="str">
        <f>Ktmp!H53</f>
        <v/>
      </c>
      <c r="I53" s="39" t="str">
        <f>Ktmp!I53</f>
        <v/>
      </c>
      <c r="J53" s="26" t="str">
        <f t="shared" si="0"/>
        <v>ГРУЗ-ЭКСПРЕСС</v>
      </c>
      <c r="K53" s="1"/>
    </row>
    <row r="54" spans="1:11" ht="24" x14ac:dyDescent="0.2">
      <c r="A54" s="16">
        <v>47</v>
      </c>
      <c r="B54" s="38" t="str">
        <f>Ktmp!B54</f>
        <v/>
      </c>
      <c r="C54" s="38" t="str">
        <f>Ktmp!C54</f>
        <v/>
      </c>
      <c r="D54" s="34"/>
      <c r="E54" s="24" t="str">
        <f>Ktmp!E54</f>
        <v/>
      </c>
      <c r="F54" s="24" t="str">
        <f>Ktmp!F54</f>
        <v/>
      </c>
      <c r="G54" s="25" t="str">
        <f>Ktmp!G54</f>
        <v/>
      </c>
      <c r="H54" s="39" t="str">
        <f>Ktmp!H54</f>
        <v/>
      </c>
      <c r="I54" s="39" t="str">
        <f>Ktmp!I54</f>
        <v/>
      </c>
      <c r="J54" s="26" t="str">
        <f t="shared" si="0"/>
        <v>ГРУЗ-ЭКСПРЕСС</v>
      </c>
      <c r="K54" s="1"/>
    </row>
    <row r="55" spans="1:11" ht="24" x14ac:dyDescent="0.2">
      <c r="A55" s="16">
        <v>48</v>
      </c>
      <c r="B55" s="38" t="str">
        <f>Ktmp!B55</f>
        <v/>
      </c>
      <c r="C55" s="38" t="str">
        <f>Ktmp!C55</f>
        <v/>
      </c>
      <c r="D55" s="34"/>
      <c r="E55" s="24" t="str">
        <f>Ktmp!E55</f>
        <v/>
      </c>
      <c r="F55" s="24" t="str">
        <f>Ktmp!F55</f>
        <v/>
      </c>
      <c r="G55" s="25" t="str">
        <f>Ktmp!G55</f>
        <v/>
      </c>
      <c r="H55" s="39" t="str">
        <f>Ktmp!H55</f>
        <v/>
      </c>
      <c r="I55" s="39" t="str">
        <f>Ktmp!I55</f>
        <v/>
      </c>
      <c r="J55" s="26" t="str">
        <f t="shared" si="0"/>
        <v>ГРУЗ-ЭКСПРЕСС</v>
      </c>
      <c r="K55" s="1"/>
    </row>
    <row r="56" spans="1:11" ht="24" x14ac:dyDescent="0.2">
      <c r="A56" s="16">
        <v>49</v>
      </c>
      <c r="B56" s="38" t="str">
        <f>Ktmp!B56</f>
        <v/>
      </c>
      <c r="C56" s="38" t="str">
        <f>Ktmp!C56</f>
        <v/>
      </c>
      <c r="D56" s="34"/>
      <c r="E56" s="24" t="str">
        <f>Ktmp!E56</f>
        <v/>
      </c>
      <c r="F56" s="24" t="str">
        <f>Ktmp!F56</f>
        <v/>
      </c>
      <c r="G56" s="25" t="str">
        <f>Ktmp!G56</f>
        <v/>
      </c>
      <c r="H56" s="39" t="str">
        <f>Ktmp!H56</f>
        <v/>
      </c>
      <c r="I56" s="39" t="str">
        <f>Ktmp!I56</f>
        <v/>
      </c>
      <c r="J56" s="26" t="str">
        <f t="shared" si="0"/>
        <v>ГРУЗ-ЭКСПРЕСС</v>
      </c>
      <c r="K56" s="1"/>
    </row>
    <row r="57" spans="1:11" ht="24" x14ac:dyDescent="0.2">
      <c r="A57" s="16">
        <v>50</v>
      </c>
      <c r="B57" s="38" t="str">
        <f>Ktmp!B57</f>
        <v/>
      </c>
      <c r="C57" s="38" t="str">
        <f>Ktmp!C57</f>
        <v/>
      </c>
      <c r="D57" s="34"/>
      <c r="E57" s="24" t="str">
        <f>Ktmp!E57</f>
        <v/>
      </c>
      <c r="F57" s="24" t="str">
        <f>Ktmp!F57</f>
        <v/>
      </c>
      <c r="G57" s="25" t="str">
        <f>Ktmp!G57</f>
        <v/>
      </c>
      <c r="H57" s="39" t="str">
        <f>Ktmp!H57</f>
        <v/>
      </c>
      <c r="I57" s="39" t="str">
        <f>Ktmp!I57</f>
        <v/>
      </c>
      <c r="J57" s="26" t="str">
        <f t="shared" si="0"/>
        <v>ГРУЗ-ЭКСПРЕСС</v>
      </c>
      <c r="K57" s="1"/>
    </row>
    <row r="58" spans="1:11" ht="24" x14ac:dyDescent="0.2">
      <c r="A58" s="16">
        <v>51</v>
      </c>
      <c r="B58" s="38" t="str">
        <f>Ktmp!B58</f>
        <v/>
      </c>
      <c r="C58" s="38" t="str">
        <f>Ktmp!C58</f>
        <v/>
      </c>
      <c r="D58" s="34"/>
      <c r="E58" s="24" t="str">
        <f>Ktmp!E58</f>
        <v/>
      </c>
      <c r="F58" s="24" t="str">
        <f>Ktmp!F58</f>
        <v/>
      </c>
      <c r="G58" s="25" t="str">
        <f>Ktmp!G58</f>
        <v/>
      </c>
      <c r="H58" s="39" t="str">
        <f>Ktmp!H58</f>
        <v/>
      </c>
      <c r="I58" s="39" t="str">
        <f>Ktmp!I58</f>
        <v/>
      </c>
      <c r="J58" s="26" t="str">
        <f t="shared" si="0"/>
        <v>ГРУЗ-ЭКСПРЕСС</v>
      </c>
      <c r="K58" s="1"/>
    </row>
    <row r="59" spans="1:11" ht="24" x14ac:dyDescent="0.2">
      <c r="A59" s="16">
        <v>52</v>
      </c>
      <c r="B59" s="38" t="str">
        <f>Ktmp!B59</f>
        <v/>
      </c>
      <c r="C59" s="38" t="str">
        <f>Ktmp!C59</f>
        <v/>
      </c>
      <c r="D59" s="34"/>
      <c r="E59" s="24" t="str">
        <f>Ktmp!E59</f>
        <v/>
      </c>
      <c r="F59" s="24" t="str">
        <f>Ktmp!F59</f>
        <v/>
      </c>
      <c r="G59" s="25" t="str">
        <f>Ktmp!G59</f>
        <v/>
      </c>
      <c r="H59" s="39" t="str">
        <f>Ktmp!H59</f>
        <v/>
      </c>
      <c r="I59" s="39" t="str">
        <f>Ktmp!I59</f>
        <v/>
      </c>
      <c r="J59" s="26" t="str">
        <f t="shared" si="0"/>
        <v>ГРУЗ-ЭКСПРЕСС</v>
      </c>
      <c r="K59" s="1"/>
    </row>
    <row r="60" spans="1:11" ht="24" x14ac:dyDescent="0.2">
      <c r="A60" s="16">
        <v>53</v>
      </c>
      <c r="B60" s="38" t="str">
        <f>Ktmp!B60</f>
        <v/>
      </c>
      <c r="C60" s="38" t="str">
        <f>Ktmp!C60</f>
        <v/>
      </c>
      <c r="D60" s="34"/>
      <c r="E60" s="24" t="str">
        <f>Ktmp!E60</f>
        <v/>
      </c>
      <c r="F60" s="24" t="str">
        <f>Ktmp!F60</f>
        <v/>
      </c>
      <c r="G60" s="25" t="str">
        <f>Ktmp!G60</f>
        <v/>
      </c>
      <c r="H60" s="39" t="str">
        <f>Ktmp!H60</f>
        <v/>
      </c>
      <c r="I60" s="39" t="str">
        <f>Ktmp!I60</f>
        <v/>
      </c>
      <c r="J60" s="26" t="str">
        <f t="shared" si="0"/>
        <v>ГРУЗ-ЭКСПРЕСС</v>
      </c>
      <c r="K60" s="1"/>
    </row>
    <row r="61" spans="1:11" ht="24" x14ac:dyDescent="0.2">
      <c r="A61" s="16">
        <v>54</v>
      </c>
      <c r="B61" s="38" t="str">
        <f>Ktmp!B61</f>
        <v/>
      </c>
      <c r="C61" s="38" t="str">
        <f>Ktmp!C61</f>
        <v/>
      </c>
      <c r="D61" s="34"/>
      <c r="E61" s="24" t="str">
        <f>Ktmp!E61</f>
        <v/>
      </c>
      <c r="F61" s="24" t="str">
        <f>Ktmp!F61</f>
        <v/>
      </c>
      <c r="G61" s="25" t="str">
        <f>Ktmp!G61</f>
        <v/>
      </c>
      <c r="H61" s="39" t="str">
        <f>Ktmp!H61</f>
        <v/>
      </c>
      <c r="I61" s="39" t="str">
        <f>Ktmp!I61</f>
        <v/>
      </c>
      <c r="J61" s="26" t="str">
        <f t="shared" si="0"/>
        <v>ГРУЗ-ЭКСПРЕСС</v>
      </c>
      <c r="K61" s="1"/>
    </row>
    <row r="62" spans="1:11" ht="24" x14ac:dyDescent="0.2">
      <c r="A62" s="16">
        <v>55</v>
      </c>
      <c r="B62" s="38" t="str">
        <f>Ktmp!B62</f>
        <v/>
      </c>
      <c r="C62" s="38" t="str">
        <f>Ktmp!C62</f>
        <v/>
      </c>
      <c r="D62" s="34"/>
      <c r="E62" s="24" t="str">
        <f>Ktmp!E62</f>
        <v/>
      </c>
      <c r="F62" s="24" t="str">
        <f>Ktmp!F62</f>
        <v/>
      </c>
      <c r="G62" s="25" t="str">
        <f>Ktmp!G62</f>
        <v/>
      </c>
      <c r="H62" s="39" t="str">
        <f>Ktmp!H62</f>
        <v/>
      </c>
      <c r="I62" s="39" t="str">
        <f>Ktmp!I62</f>
        <v/>
      </c>
      <c r="J62" s="26" t="str">
        <f t="shared" si="0"/>
        <v>ГРУЗ-ЭКСПРЕСС</v>
      </c>
      <c r="K62" s="1"/>
    </row>
    <row r="63" spans="1:11" ht="24" x14ac:dyDescent="0.2">
      <c r="A63" s="16">
        <v>56</v>
      </c>
      <c r="B63" s="38" t="str">
        <f>Ktmp!B63</f>
        <v/>
      </c>
      <c r="C63" s="38" t="str">
        <f>Ktmp!C63</f>
        <v/>
      </c>
      <c r="D63" s="34"/>
      <c r="E63" s="24" t="str">
        <f>Ktmp!E63</f>
        <v/>
      </c>
      <c r="F63" s="24" t="str">
        <f>Ktmp!F63</f>
        <v/>
      </c>
      <c r="G63" s="25" t="str">
        <f>Ktmp!G63</f>
        <v/>
      </c>
      <c r="H63" s="39" t="str">
        <f>Ktmp!H63</f>
        <v/>
      </c>
      <c r="I63" s="39" t="str">
        <f>Ktmp!I63</f>
        <v/>
      </c>
      <c r="J63" s="26" t="str">
        <f t="shared" si="0"/>
        <v>ГРУЗ-ЭКСПРЕСС</v>
      </c>
      <c r="K63" s="1"/>
    </row>
    <row r="64" spans="1:11" ht="24" x14ac:dyDescent="0.2">
      <c r="A64" s="16">
        <v>57</v>
      </c>
      <c r="B64" s="38" t="str">
        <f>Ktmp!B64</f>
        <v/>
      </c>
      <c r="C64" s="38" t="str">
        <f>Ktmp!C64</f>
        <v/>
      </c>
      <c r="D64" s="34"/>
      <c r="E64" s="24" t="str">
        <f>Ktmp!E64</f>
        <v/>
      </c>
      <c r="F64" s="24" t="str">
        <f>Ktmp!F64</f>
        <v/>
      </c>
      <c r="G64" s="25" t="str">
        <f>Ktmp!G64</f>
        <v/>
      </c>
      <c r="H64" s="39" t="str">
        <f>Ktmp!H64</f>
        <v/>
      </c>
      <c r="I64" s="39" t="str">
        <f>Ktmp!I64</f>
        <v/>
      </c>
      <c r="J64" s="26" t="str">
        <f t="shared" si="0"/>
        <v>ГРУЗ-ЭКСПРЕСС</v>
      </c>
      <c r="K64" s="1"/>
    </row>
    <row r="65" spans="1:11" ht="24" x14ac:dyDescent="0.2">
      <c r="A65" s="16">
        <v>58</v>
      </c>
      <c r="B65" s="38" t="str">
        <f>Ktmp!B65</f>
        <v/>
      </c>
      <c r="C65" s="38" t="str">
        <f>Ktmp!C65</f>
        <v/>
      </c>
      <c r="D65" s="34"/>
      <c r="E65" s="24" t="str">
        <f>Ktmp!E65</f>
        <v/>
      </c>
      <c r="F65" s="24" t="str">
        <f>Ktmp!F65</f>
        <v/>
      </c>
      <c r="G65" s="25" t="str">
        <f>Ktmp!G65</f>
        <v/>
      </c>
      <c r="H65" s="39" t="str">
        <f>Ktmp!H65</f>
        <v/>
      </c>
      <c r="I65" s="39" t="str">
        <f>Ktmp!I65</f>
        <v/>
      </c>
      <c r="J65" s="26" t="str">
        <f t="shared" si="0"/>
        <v>ГРУЗ-ЭКСПРЕСС</v>
      </c>
      <c r="K65" s="1"/>
    </row>
    <row r="66" spans="1:11" ht="24" x14ac:dyDescent="0.2">
      <c r="A66" s="16">
        <v>59</v>
      </c>
      <c r="B66" s="38" t="str">
        <f>Ktmp!B66</f>
        <v/>
      </c>
      <c r="C66" s="38" t="str">
        <f>Ktmp!C66</f>
        <v/>
      </c>
      <c r="D66" s="34"/>
      <c r="E66" s="24" t="str">
        <f>Ktmp!E66</f>
        <v/>
      </c>
      <c r="F66" s="24" t="str">
        <f>Ktmp!F66</f>
        <v/>
      </c>
      <c r="G66" s="25" t="str">
        <f>Ktmp!G66</f>
        <v/>
      </c>
      <c r="H66" s="39" t="str">
        <f>Ktmp!H66</f>
        <v/>
      </c>
      <c r="I66" s="39" t="str">
        <f>Ktmp!I66</f>
        <v/>
      </c>
      <c r="J66" s="26" t="str">
        <f t="shared" si="0"/>
        <v>ГРУЗ-ЭКСПРЕСС</v>
      </c>
      <c r="K66" s="1"/>
    </row>
    <row r="67" spans="1:11" ht="24" x14ac:dyDescent="0.2">
      <c r="A67" s="16">
        <v>60</v>
      </c>
      <c r="B67" s="38" t="str">
        <f>Ktmp!B67</f>
        <v/>
      </c>
      <c r="C67" s="38" t="str">
        <f>Ktmp!C67</f>
        <v/>
      </c>
      <c r="D67" s="34"/>
      <c r="E67" s="24" t="str">
        <f>Ktmp!E67</f>
        <v/>
      </c>
      <c r="F67" s="24" t="str">
        <f>Ktmp!F67</f>
        <v/>
      </c>
      <c r="G67" s="25" t="str">
        <f>Ktmp!G67</f>
        <v/>
      </c>
      <c r="H67" s="39" t="str">
        <f>Ktmp!H67</f>
        <v/>
      </c>
      <c r="I67" s="39" t="str">
        <f>Ktmp!I67</f>
        <v/>
      </c>
      <c r="J67" s="26" t="str">
        <f t="shared" si="0"/>
        <v>ГРУЗ-ЭКСПРЕСС</v>
      </c>
      <c r="K67" s="1"/>
    </row>
    <row r="68" spans="1:11" ht="24" x14ac:dyDescent="0.2">
      <c r="A68" s="16">
        <v>61</v>
      </c>
      <c r="B68" s="38" t="str">
        <f>Ktmp!B68</f>
        <v/>
      </c>
      <c r="C68" s="38" t="str">
        <f>Ktmp!C68</f>
        <v/>
      </c>
      <c r="D68" s="34"/>
      <c r="E68" s="24" t="str">
        <f>Ktmp!E68</f>
        <v/>
      </c>
      <c r="F68" s="24" t="str">
        <f>Ktmp!F68</f>
        <v/>
      </c>
      <c r="G68" s="25" t="str">
        <f>Ktmp!G68</f>
        <v/>
      </c>
      <c r="H68" s="39" t="str">
        <f>Ktmp!H68</f>
        <v/>
      </c>
      <c r="I68" s="39" t="str">
        <f>Ktmp!I68</f>
        <v/>
      </c>
      <c r="J68" s="26" t="str">
        <f t="shared" si="0"/>
        <v>ГРУЗ-ЭКСПРЕСС</v>
      </c>
      <c r="K68" s="1"/>
    </row>
    <row r="69" spans="1:11" ht="24" x14ac:dyDescent="0.2">
      <c r="A69" s="16">
        <v>62</v>
      </c>
      <c r="B69" s="38" t="str">
        <f>Ktmp!B69</f>
        <v/>
      </c>
      <c r="C69" s="38" t="str">
        <f>Ktmp!C69</f>
        <v/>
      </c>
      <c r="D69" s="34"/>
      <c r="E69" s="24" t="str">
        <f>Ktmp!E69</f>
        <v/>
      </c>
      <c r="F69" s="24" t="str">
        <f>Ktmp!F69</f>
        <v/>
      </c>
      <c r="G69" s="25" t="str">
        <f>Ktmp!G69</f>
        <v/>
      </c>
      <c r="H69" s="39" t="str">
        <f>Ktmp!H69</f>
        <v/>
      </c>
      <c r="I69" s="39" t="str">
        <f>Ktmp!I69</f>
        <v/>
      </c>
      <c r="J69" s="26" t="str">
        <f t="shared" si="0"/>
        <v>ГРУЗ-ЭКСПРЕСС</v>
      </c>
      <c r="K69" s="1"/>
    </row>
    <row r="70" spans="1:11" ht="24" x14ac:dyDescent="0.2">
      <c r="A70" s="16">
        <v>63</v>
      </c>
      <c r="B70" s="38" t="str">
        <f>Ktmp!B70</f>
        <v/>
      </c>
      <c r="C70" s="38" t="str">
        <f>Ktmp!C70</f>
        <v/>
      </c>
      <c r="D70" s="34"/>
      <c r="E70" s="24" t="str">
        <f>Ktmp!E70</f>
        <v/>
      </c>
      <c r="F70" s="24" t="str">
        <f>Ktmp!F70</f>
        <v/>
      </c>
      <c r="G70" s="25" t="str">
        <f>Ktmp!G70</f>
        <v/>
      </c>
      <c r="H70" s="39" t="str">
        <f>Ktmp!H70</f>
        <v/>
      </c>
      <c r="I70" s="39" t="str">
        <f>Ktmp!I70</f>
        <v/>
      </c>
      <c r="J70" s="26" t="str">
        <f t="shared" si="0"/>
        <v>ГРУЗ-ЭКСПРЕСС</v>
      </c>
      <c r="K70" s="1"/>
    </row>
    <row r="71" spans="1:11" ht="24" x14ac:dyDescent="0.2">
      <c r="A71" s="16">
        <v>64</v>
      </c>
      <c r="B71" s="38" t="str">
        <f>Ktmp!B71</f>
        <v/>
      </c>
      <c r="C71" s="38" t="str">
        <f>Ktmp!C71</f>
        <v/>
      </c>
      <c r="D71" s="34"/>
      <c r="E71" s="24" t="str">
        <f>Ktmp!E71</f>
        <v/>
      </c>
      <c r="F71" s="24" t="str">
        <f>Ktmp!F71</f>
        <v/>
      </c>
      <c r="G71" s="25" t="str">
        <f>Ktmp!G71</f>
        <v/>
      </c>
      <c r="H71" s="39" t="str">
        <f>Ktmp!H71</f>
        <v/>
      </c>
      <c r="I71" s="39" t="str">
        <f>Ktmp!I71</f>
        <v/>
      </c>
      <c r="J71" s="26" t="str">
        <f t="shared" si="0"/>
        <v>ГРУЗ-ЭКСПРЕСС</v>
      </c>
      <c r="K71" s="1"/>
    </row>
    <row r="72" spans="1:11" ht="24" x14ac:dyDescent="0.2">
      <c r="A72" s="16">
        <v>65</v>
      </c>
      <c r="B72" s="38" t="str">
        <f>Ktmp!B72</f>
        <v/>
      </c>
      <c r="C72" s="38" t="str">
        <f>Ktmp!C72</f>
        <v/>
      </c>
      <c r="D72" s="34"/>
      <c r="E72" s="24" t="str">
        <f>Ktmp!E72</f>
        <v/>
      </c>
      <c r="F72" s="24" t="str">
        <f>Ktmp!F72</f>
        <v/>
      </c>
      <c r="G72" s="25" t="str">
        <f>Ktmp!G72</f>
        <v/>
      </c>
      <c r="H72" s="39" t="str">
        <f>Ktmp!H72</f>
        <v/>
      </c>
      <c r="I72" s="39" t="str">
        <f>Ktmp!I72</f>
        <v/>
      </c>
      <c r="J72" s="26" t="str">
        <f t="shared" si="0"/>
        <v>ГРУЗ-ЭКСПРЕСС</v>
      </c>
      <c r="K72" s="1"/>
    </row>
    <row r="73" spans="1:11" ht="24" x14ac:dyDescent="0.2">
      <c r="A73" s="16">
        <v>66</v>
      </c>
      <c r="B73" s="38" t="str">
        <f>Ktmp!B73</f>
        <v/>
      </c>
      <c r="C73" s="38" t="str">
        <f>Ktmp!C73</f>
        <v/>
      </c>
      <c r="D73" s="34"/>
      <c r="E73" s="24" t="str">
        <f>Ktmp!E73</f>
        <v/>
      </c>
      <c r="F73" s="24" t="str">
        <f>Ktmp!F73</f>
        <v/>
      </c>
      <c r="G73" s="25" t="str">
        <f>Ktmp!G73</f>
        <v/>
      </c>
      <c r="H73" s="39" t="str">
        <f>Ktmp!H73</f>
        <v/>
      </c>
      <c r="I73" s="39" t="str">
        <f>Ktmp!I73</f>
        <v/>
      </c>
      <c r="J73" s="26" t="str">
        <f t="shared" ref="J73:J107" si="1">IF(I73&gt;20,"ГРУЗ-ЭКСПРЕСС","ПОЧТА-ЭКСПРЕСС")</f>
        <v>ГРУЗ-ЭКСПРЕСС</v>
      </c>
      <c r="K73" s="1"/>
    </row>
    <row r="74" spans="1:11" ht="24" x14ac:dyDescent="0.2">
      <c r="A74" s="16">
        <v>67</v>
      </c>
      <c r="B74" s="38" t="str">
        <f>Ktmp!B74</f>
        <v/>
      </c>
      <c r="C74" s="38" t="str">
        <f>Ktmp!C74</f>
        <v/>
      </c>
      <c r="D74" s="34"/>
      <c r="E74" s="24" t="str">
        <f>Ktmp!E74</f>
        <v/>
      </c>
      <c r="F74" s="24" t="str">
        <f>Ktmp!F74</f>
        <v/>
      </c>
      <c r="G74" s="25" t="str">
        <f>Ktmp!G74</f>
        <v/>
      </c>
      <c r="H74" s="39" t="str">
        <f>Ktmp!H74</f>
        <v/>
      </c>
      <c r="I74" s="39" t="str">
        <f>Ktmp!I74</f>
        <v/>
      </c>
      <c r="J74" s="26" t="str">
        <f t="shared" si="1"/>
        <v>ГРУЗ-ЭКСПРЕСС</v>
      </c>
      <c r="K74" s="1"/>
    </row>
    <row r="75" spans="1:11" ht="24" x14ac:dyDescent="0.2">
      <c r="A75" s="16">
        <v>68</v>
      </c>
      <c r="B75" s="38" t="str">
        <f>Ktmp!B75</f>
        <v/>
      </c>
      <c r="C75" s="38" t="str">
        <f>Ktmp!C75</f>
        <v/>
      </c>
      <c r="D75" s="34"/>
      <c r="E75" s="24" t="str">
        <f>Ktmp!E75</f>
        <v/>
      </c>
      <c r="F75" s="24" t="str">
        <f>Ktmp!F75</f>
        <v/>
      </c>
      <c r="G75" s="25" t="str">
        <f>Ktmp!G75</f>
        <v/>
      </c>
      <c r="H75" s="39" t="str">
        <f>Ktmp!H75</f>
        <v/>
      </c>
      <c r="I75" s="39" t="str">
        <f>Ktmp!I75</f>
        <v/>
      </c>
      <c r="J75" s="26" t="str">
        <f t="shared" si="1"/>
        <v>ГРУЗ-ЭКСПРЕСС</v>
      </c>
      <c r="K75" s="1"/>
    </row>
    <row r="76" spans="1:11" ht="24" x14ac:dyDescent="0.2">
      <c r="A76" s="16">
        <v>69</v>
      </c>
      <c r="B76" s="38" t="str">
        <f>Ktmp!B76</f>
        <v/>
      </c>
      <c r="C76" s="38" t="str">
        <f>Ktmp!C76</f>
        <v/>
      </c>
      <c r="D76" s="34"/>
      <c r="E76" s="24" t="str">
        <f>Ktmp!E76</f>
        <v/>
      </c>
      <c r="F76" s="24" t="str">
        <f>Ktmp!F76</f>
        <v/>
      </c>
      <c r="G76" s="25" t="str">
        <f>Ktmp!G76</f>
        <v/>
      </c>
      <c r="H76" s="39" t="str">
        <f>Ktmp!H76</f>
        <v/>
      </c>
      <c r="I76" s="39" t="str">
        <f>Ktmp!I76</f>
        <v/>
      </c>
      <c r="J76" s="26" t="str">
        <f t="shared" si="1"/>
        <v>ГРУЗ-ЭКСПРЕСС</v>
      </c>
      <c r="K76" s="1"/>
    </row>
    <row r="77" spans="1:11" ht="24" x14ac:dyDescent="0.2">
      <c r="A77" s="16">
        <v>70</v>
      </c>
      <c r="B77" s="38" t="str">
        <f>Ktmp!B77</f>
        <v/>
      </c>
      <c r="C77" s="38" t="str">
        <f>Ktmp!C77</f>
        <v/>
      </c>
      <c r="D77" s="34"/>
      <c r="E77" s="24" t="str">
        <f>Ktmp!E77</f>
        <v/>
      </c>
      <c r="F77" s="24" t="str">
        <f>Ktmp!F77</f>
        <v/>
      </c>
      <c r="G77" s="25" t="str">
        <f>Ktmp!G77</f>
        <v/>
      </c>
      <c r="H77" s="39" t="str">
        <f>Ktmp!H77</f>
        <v/>
      </c>
      <c r="I77" s="39" t="str">
        <f>Ktmp!I77</f>
        <v/>
      </c>
      <c r="J77" s="26" t="str">
        <f t="shared" si="1"/>
        <v>ГРУЗ-ЭКСПРЕСС</v>
      </c>
      <c r="K77" s="1"/>
    </row>
    <row r="78" spans="1:11" ht="24" x14ac:dyDescent="0.2">
      <c r="A78" s="16">
        <v>71</v>
      </c>
      <c r="B78" s="38" t="str">
        <f>Ktmp!B78</f>
        <v/>
      </c>
      <c r="C78" s="38" t="str">
        <f>Ktmp!C78</f>
        <v/>
      </c>
      <c r="D78" s="34"/>
      <c r="E78" s="24" t="str">
        <f>Ktmp!E78</f>
        <v/>
      </c>
      <c r="F78" s="24" t="str">
        <f>Ktmp!F78</f>
        <v/>
      </c>
      <c r="G78" s="25" t="str">
        <f>Ktmp!G78</f>
        <v/>
      </c>
      <c r="H78" s="39" t="str">
        <f>Ktmp!H78</f>
        <v/>
      </c>
      <c r="I78" s="39" t="str">
        <f>Ktmp!I78</f>
        <v/>
      </c>
      <c r="J78" s="26" t="str">
        <f t="shared" si="1"/>
        <v>ГРУЗ-ЭКСПРЕСС</v>
      </c>
      <c r="K78" s="1"/>
    </row>
    <row r="79" spans="1:11" ht="24" x14ac:dyDescent="0.2">
      <c r="A79" s="16">
        <v>72</v>
      </c>
      <c r="B79" s="38" t="str">
        <f>Ktmp!B79</f>
        <v/>
      </c>
      <c r="C79" s="38" t="str">
        <f>Ktmp!C79</f>
        <v/>
      </c>
      <c r="D79" s="34"/>
      <c r="E79" s="24" t="str">
        <f>Ktmp!E79</f>
        <v/>
      </c>
      <c r="F79" s="24" t="str">
        <f>Ktmp!F79</f>
        <v/>
      </c>
      <c r="G79" s="25" t="str">
        <f>Ktmp!G79</f>
        <v/>
      </c>
      <c r="H79" s="39" t="str">
        <f>Ktmp!H79</f>
        <v/>
      </c>
      <c r="I79" s="39" t="str">
        <f>Ktmp!I79</f>
        <v/>
      </c>
      <c r="J79" s="26" t="str">
        <f t="shared" si="1"/>
        <v>ГРУЗ-ЭКСПРЕСС</v>
      </c>
      <c r="K79" s="1"/>
    </row>
    <row r="80" spans="1:11" ht="24" x14ac:dyDescent="0.2">
      <c r="A80" s="16">
        <v>73</v>
      </c>
      <c r="B80" s="38" t="str">
        <f>Ktmp!B80</f>
        <v/>
      </c>
      <c r="C80" s="38" t="str">
        <f>Ktmp!C80</f>
        <v/>
      </c>
      <c r="D80" s="34"/>
      <c r="E80" s="24" t="str">
        <f>Ktmp!E80</f>
        <v/>
      </c>
      <c r="F80" s="24" t="str">
        <f>Ktmp!F80</f>
        <v/>
      </c>
      <c r="G80" s="25" t="str">
        <f>Ktmp!G80</f>
        <v/>
      </c>
      <c r="H80" s="39" t="str">
        <f>Ktmp!H80</f>
        <v/>
      </c>
      <c r="I80" s="39" t="str">
        <f>Ktmp!I80</f>
        <v/>
      </c>
      <c r="J80" s="26" t="str">
        <f t="shared" si="1"/>
        <v>ГРУЗ-ЭКСПРЕСС</v>
      </c>
      <c r="K80" s="1"/>
    </row>
    <row r="81" spans="1:11" ht="24" x14ac:dyDescent="0.2">
      <c r="A81" s="16">
        <v>74</v>
      </c>
      <c r="B81" s="38" t="str">
        <f>Ktmp!B81</f>
        <v/>
      </c>
      <c r="C81" s="38" t="str">
        <f>Ktmp!C81</f>
        <v/>
      </c>
      <c r="D81" s="34"/>
      <c r="E81" s="24" t="str">
        <f>Ktmp!E81</f>
        <v/>
      </c>
      <c r="F81" s="24" t="str">
        <f>Ktmp!F81</f>
        <v/>
      </c>
      <c r="G81" s="25" t="str">
        <f>Ktmp!G81</f>
        <v/>
      </c>
      <c r="H81" s="39" t="str">
        <f>Ktmp!H81</f>
        <v/>
      </c>
      <c r="I81" s="39" t="str">
        <f>Ktmp!I81</f>
        <v/>
      </c>
      <c r="J81" s="26" t="str">
        <f t="shared" si="1"/>
        <v>ГРУЗ-ЭКСПРЕСС</v>
      </c>
      <c r="K81" s="1"/>
    </row>
    <row r="82" spans="1:11" ht="24" x14ac:dyDescent="0.2">
      <c r="A82" s="16">
        <v>75</v>
      </c>
      <c r="B82" s="38" t="str">
        <f>Ktmp!B82</f>
        <v/>
      </c>
      <c r="C82" s="38" t="str">
        <f>Ktmp!C82</f>
        <v/>
      </c>
      <c r="D82" s="34"/>
      <c r="E82" s="24" t="str">
        <f>Ktmp!E82</f>
        <v/>
      </c>
      <c r="F82" s="24" t="str">
        <f>Ktmp!F82</f>
        <v/>
      </c>
      <c r="G82" s="25" t="str">
        <f>Ktmp!G82</f>
        <v/>
      </c>
      <c r="H82" s="39" t="str">
        <f>Ktmp!H82</f>
        <v/>
      </c>
      <c r="I82" s="39" t="str">
        <f>Ktmp!I82</f>
        <v/>
      </c>
      <c r="J82" s="26" t="str">
        <f t="shared" si="1"/>
        <v>ГРУЗ-ЭКСПРЕСС</v>
      </c>
      <c r="K82" s="1"/>
    </row>
    <row r="83" spans="1:11" ht="24" x14ac:dyDescent="0.2">
      <c r="A83" s="16">
        <v>76</v>
      </c>
      <c r="B83" s="38" t="str">
        <f>Ktmp!B83</f>
        <v/>
      </c>
      <c r="C83" s="38" t="str">
        <f>Ktmp!C83</f>
        <v/>
      </c>
      <c r="D83" s="34"/>
      <c r="E83" s="24" t="str">
        <f>Ktmp!E83</f>
        <v/>
      </c>
      <c r="F83" s="24" t="str">
        <f>Ktmp!F83</f>
        <v/>
      </c>
      <c r="G83" s="25" t="str">
        <f>Ktmp!G83</f>
        <v/>
      </c>
      <c r="H83" s="39" t="str">
        <f>Ktmp!H83</f>
        <v/>
      </c>
      <c r="I83" s="39" t="str">
        <f>Ktmp!I83</f>
        <v/>
      </c>
      <c r="J83" s="26" t="str">
        <f t="shared" si="1"/>
        <v>ГРУЗ-ЭКСПРЕСС</v>
      </c>
      <c r="K83" s="1"/>
    </row>
    <row r="84" spans="1:11" ht="24" x14ac:dyDescent="0.2">
      <c r="A84" s="16">
        <v>77</v>
      </c>
      <c r="B84" s="38" t="str">
        <f>Ktmp!B84</f>
        <v/>
      </c>
      <c r="C84" s="38" t="str">
        <f>Ktmp!C84</f>
        <v/>
      </c>
      <c r="D84" s="34"/>
      <c r="E84" s="24" t="str">
        <f>Ktmp!E84</f>
        <v/>
      </c>
      <c r="F84" s="24" t="str">
        <f>Ktmp!F84</f>
        <v/>
      </c>
      <c r="G84" s="25" t="str">
        <f>Ktmp!G84</f>
        <v/>
      </c>
      <c r="H84" s="39" t="str">
        <f>Ktmp!H84</f>
        <v/>
      </c>
      <c r="I84" s="39" t="str">
        <f>Ktmp!I84</f>
        <v/>
      </c>
      <c r="J84" s="26" t="str">
        <f t="shared" si="1"/>
        <v>ГРУЗ-ЭКСПРЕСС</v>
      </c>
      <c r="K84" s="1"/>
    </row>
    <row r="85" spans="1:11" ht="24" x14ac:dyDescent="0.2">
      <c r="A85" s="16">
        <v>78</v>
      </c>
      <c r="B85" s="38" t="str">
        <f>Ktmp!B85</f>
        <v/>
      </c>
      <c r="C85" s="38" t="str">
        <f>Ktmp!C85</f>
        <v/>
      </c>
      <c r="D85" s="34"/>
      <c r="E85" s="24" t="str">
        <f>Ktmp!E85</f>
        <v/>
      </c>
      <c r="F85" s="24" t="str">
        <f>Ktmp!F85</f>
        <v/>
      </c>
      <c r="G85" s="25" t="str">
        <f>Ktmp!G85</f>
        <v/>
      </c>
      <c r="H85" s="39" t="str">
        <f>Ktmp!H85</f>
        <v/>
      </c>
      <c r="I85" s="39" t="str">
        <f>Ktmp!I85</f>
        <v/>
      </c>
      <c r="J85" s="26" t="str">
        <f t="shared" si="1"/>
        <v>ГРУЗ-ЭКСПРЕСС</v>
      </c>
      <c r="K85" s="1"/>
    </row>
    <row r="86" spans="1:11" ht="24" x14ac:dyDescent="0.2">
      <c r="A86" s="16">
        <v>79</v>
      </c>
      <c r="B86" s="38" t="str">
        <f>Ktmp!B86</f>
        <v/>
      </c>
      <c r="C86" s="38" t="str">
        <f>Ktmp!C86</f>
        <v/>
      </c>
      <c r="D86" s="34"/>
      <c r="E86" s="24" t="str">
        <f>Ktmp!E86</f>
        <v/>
      </c>
      <c r="F86" s="24" t="str">
        <f>Ktmp!F86</f>
        <v/>
      </c>
      <c r="G86" s="25" t="str">
        <f>Ktmp!G86</f>
        <v/>
      </c>
      <c r="H86" s="39" t="str">
        <f>Ktmp!H86</f>
        <v/>
      </c>
      <c r="I86" s="39" t="str">
        <f>Ktmp!I86</f>
        <v/>
      </c>
      <c r="J86" s="26" t="str">
        <f t="shared" si="1"/>
        <v>ГРУЗ-ЭКСПРЕСС</v>
      </c>
      <c r="K86" s="1"/>
    </row>
    <row r="87" spans="1:11" ht="24" x14ac:dyDescent="0.2">
      <c r="A87" s="16">
        <v>80</v>
      </c>
      <c r="B87" s="38" t="str">
        <f>Ktmp!B87</f>
        <v/>
      </c>
      <c r="C87" s="38" t="str">
        <f>Ktmp!C87</f>
        <v/>
      </c>
      <c r="D87" s="34"/>
      <c r="E87" s="24" t="str">
        <f>Ktmp!E87</f>
        <v/>
      </c>
      <c r="F87" s="24" t="str">
        <f>Ktmp!F87</f>
        <v/>
      </c>
      <c r="G87" s="25" t="str">
        <f>Ktmp!G87</f>
        <v/>
      </c>
      <c r="H87" s="39" t="str">
        <f>Ktmp!H87</f>
        <v/>
      </c>
      <c r="I87" s="39" t="str">
        <f>Ktmp!I87</f>
        <v/>
      </c>
      <c r="J87" s="26" t="str">
        <f t="shared" si="1"/>
        <v>ГРУЗ-ЭКСПРЕСС</v>
      </c>
      <c r="K87" s="1"/>
    </row>
    <row r="88" spans="1:11" ht="24" x14ac:dyDescent="0.2">
      <c r="A88" s="16">
        <v>81</v>
      </c>
      <c r="B88" s="38" t="str">
        <f>Ktmp!B88</f>
        <v/>
      </c>
      <c r="C88" s="38" t="str">
        <f>Ktmp!C88</f>
        <v/>
      </c>
      <c r="D88" s="34"/>
      <c r="E88" s="24" t="str">
        <f>Ktmp!E88</f>
        <v/>
      </c>
      <c r="F88" s="24" t="str">
        <f>Ktmp!F88</f>
        <v/>
      </c>
      <c r="G88" s="25" t="str">
        <f>Ktmp!G88</f>
        <v/>
      </c>
      <c r="H88" s="39" t="str">
        <f>Ktmp!H88</f>
        <v/>
      </c>
      <c r="I88" s="39" t="str">
        <f>Ktmp!I88</f>
        <v/>
      </c>
      <c r="J88" s="26" t="str">
        <f t="shared" si="1"/>
        <v>ГРУЗ-ЭКСПРЕСС</v>
      </c>
      <c r="K88" s="1"/>
    </row>
    <row r="89" spans="1:11" ht="24" x14ac:dyDescent="0.2">
      <c r="A89" s="16">
        <v>82</v>
      </c>
      <c r="B89" s="38" t="str">
        <f>Ktmp!B89</f>
        <v/>
      </c>
      <c r="C89" s="38" t="str">
        <f>Ktmp!C89</f>
        <v/>
      </c>
      <c r="D89" s="34"/>
      <c r="E89" s="24" t="str">
        <f>Ktmp!E89</f>
        <v/>
      </c>
      <c r="F89" s="24" t="str">
        <f>Ktmp!F89</f>
        <v/>
      </c>
      <c r="G89" s="25" t="str">
        <f>Ktmp!G89</f>
        <v/>
      </c>
      <c r="H89" s="39" t="str">
        <f>Ktmp!H89</f>
        <v/>
      </c>
      <c r="I89" s="39" t="str">
        <f>Ktmp!I89</f>
        <v/>
      </c>
      <c r="J89" s="26" t="str">
        <f t="shared" si="1"/>
        <v>ГРУЗ-ЭКСПРЕСС</v>
      </c>
      <c r="K89" s="1"/>
    </row>
    <row r="90" spans="1:11" ht="24" x14ac:dyDescent="0.2">
      <c r="A90" s="16">
        <v>83</v>
      </c>
      <c r="B90" s="38" t="str">
        <f>Ktmp!B90</f>
        <v/>
      </c>
      <c r="C90" s="38" t="str">
        <f>Ktmp!C90</f>
        <v/>
      </c>
      <c r="D90" s="34"/>
      <c r="E90" s="24" t="str">
        <f>Ktmp!E90</f>
        <v/>
      </c>
      <c r="F90" s="24" t="str">
        <f>Ktmp!F90</f>
        <v/>
      </c>
      <c r="G90" s="25" t="str">
        <f>Ktmp!G90</f>
        <v/>
      </c>
      <c r="H90" s="39" t="str">
        <f>Ktmp!H90</f>
        <v/>
      </c>
      <c r="I90" s="39" t="str">
        <f>Ktmp!I90</f>
        <v/>
      </c>
      <c r="J90" s="26" t="str">
        <f t="shared" si="1"/>
        <v>ГРУЗ-ЭКСПРЕСС</v>
      </c>
      <c r="K90" s="1"/>
    </row>
    <row r="91" spans="1:11" ht="24" x14ac:dyDescent="0.2">
      <c r="A91" s="16">
        <v>84</v>
      </c>
      <c r="B91" s="38" t="str">
        <f>Ktmp!B91</f>
        <v/>
      </c>
      <c r="C91" s="38" t="str">
        <f>Ktmp!C91</f>
        <v/>
      </c>
      <c r="D91" s="34"/>
      <c r="E91" s="24" t="str">
        <f>Ktmp!E91</f>
        <v/>
      </c>
      <c r="F91" s="24" t="str">
        <f>Ktmp!F91</f>
        <v/>
      </c>
      <c r="G91" s="25" t="str">
        <f>Ktmp!G91</f>
        <v/>
      </c>
      <c r="H91" s="39" t="str">
        <f>Ktmp!H91</f>
        <v/>
      </c>
      <c r="I91" s="39" t="str">
        <f>Ktmp!I91</f>
        <v/>
      </c>
      <c r="J91" s="26" t="str">
        <f t="shared" si="1"/>
        <v>ГРУЗ-ЭКСПРЕСС</v>
      </c>
      <c r="K91" s="1"/>
    </row>
    <row r="92" spans="1:11" ht="24" x14ac:dyDescent="0.2">
      <c r="A92" s="16">
        <v>85</v>
      </c>
      <c r="B92" s="38" t="str">
        <f>Ktmp!B92</f>
        <v/>
      </c>
      <c r="C92" s="38" t="str">
        <f>Ktmp!C92</f>
        <v/>
      </c>
      <c r="D92" s="34"/>
      <c r="E92" s="24" t="str">
        <f>Ktmp!E92</f>
        <v/>
      </c>
      <c r="F92" s="24" t="str">
        <f>Ktmp!F92</f>
        <v/>
      </c>
      <c r="G92" s="25" t="str">
        <f>Ktmp!G92</f>
        <v/>
      </c>
      <c r="H92" s="39" t="str">
        <f>Ktmp!H92</f>
        <v/>
      </c>
      <c r="I92" s="39" t="str">
        <f>Ktmp!I92</f>
        <v/>
      </c>
      <c r="J92" s="26" t="str">
        <f t="shared" si="1"/>
        <v>ГРУЗ-ЭКСПРЕСС</v>
      </c>
      <c r="K92" s="1"/>
    </row>
    <row r="93" spans="1:11" ht="24" x14ac:dyDescent="0.2">
      <c r="A93" s="16">
        <v>86</v>
      </c>
      <c r="B93" s="38" t="str">
        <f>Ktmp!B93</f>
        <v/>
      </c>
      <c r="C93" s="38" t="str">
        <f>Ktmp!C93</f>
        <v/>
      </c>
      <c r="D93" s="34"/>
      <c r="E93" s="24" t="str">
        <f>Ktmp!E93</f>
        <v/>
      </c>
      <c r="F93" s="24" t="str">
        <f>Ktmp!F93</f>
        <v/>
      </c>
      <c r="G93" s="25" t="str">
        <f>Ktmp!G93</f>
        <v/>
      </c>
      <c r="H93" s="39" t="str">
        <f>Ktmp!H93</f>
        <v/>
      </c>
      <c r="I93" s="39" t="str">
        <f>Ktmp!I93</f>
        <v/>
      </c>
      <c r="J93" s="26" t="str">
        <f t="shared" si="1"/>
        <v>ГРУЗ-ЭКСПРЕСС</v>
      </c>
      <c r="K93" s="1"/>
    </row>
    <row r="94" spans="1:11" ht="24" x14ac:dyDescent="0.2">
      <c r="A94" s="16">
        <v>87</v>
      </c>
      <c r="B94" s="38" t="str">
        <f>Ktmp!B94</f>
        <v/>
      </c>
      <c r="C94" s="38" t="str">
        <f>Ktmp!C94</f>
        <v/>
      </c>
      <c r="D94" s="34"/>
      <c r="E94" s="24" t="str">
        <f>Ktmp!E94</f>
        <v/>
      </c>
      <c r="F94" s="24" t="str">
        <f>Ktmp!F94</f>
        <v/>
      </c>
      <c r="G94" s="25" t="str">
        <f>Ktmp!G94</f>
        <v/>
      </c>
      <c r="H94" s="39" t="str">
        <f>Ktmp!H94</f>
        <v/>
      </c>
      <c r="I94" s="39" t="str">
        <f>Ktmp!I94</f>
        <v/>
      </c>
      <c r="J94" s="26" t="str">
        <f t="shared" si="1"/>
        <v>ГРУЗ-ЭКСПРЕСС</v>
      </c>
      <c r="K94" s="1"/>
    </row>
    <row r="95" spans="1:11" ht="24" x14ac:dyDescent="0.2">
      <c r="A95" s="16">
        <v>88</v>
      </c>
      <c r="B95" s="38" t="str">
        <f>Ktmp!B95</f>
        <v/>
      </c>
      <c r="C95" s="38" t="str">
        <f>Ktmp!C95</f>
        <v/>
      </c>
      <c r="D95" s="34"/>
      <c r="E95" s="24" t="str">
        <f>Ktmp!E95</f>
        <v/>
      </c>
      <c r="F95" s="24" t="str">
        <f>Ktmp!F95</f>
        <v/>
      </c>
      <c r="G95" s="25" t="str">
        <f>Ktmp!G95</f>
        <v/>
      </c>
      <c r="H95" s="39" t="str">
        <f>Ktmp!H95</f>
        <v/>
      </c>
      <c r="I95" s="39" t="str">
        <f>Ktmp!I95</f>
        <v/>
      </c>
      <c r="J95" s="26" t="str">
        <f t="shared" si="1"/>
        <v>ГРУЗ-ЭКСПРЕСС</v>
      </c>
      <c r="K95" s="1"/>
    </row>
    <row r="96" spans="1:11" ht="24" x14ac:dyDescent="0.2">
      <c r="A96" s="16">
        <v>89</v>
      </c>
      <c r="B96" s="38" t="str">
        <f>Ktmp!B96</f>
        <v/>
      </c>
      <c r="C96" s="38" t="str">
        <f>Ktmp!C96</f>
        <v/>
      </c>
      <c r="D96" s="34"/>
      <c r="E96" s="24" t="str">
        <f>Ktmp!E96</f>
        <v/>
      </c>
      <c r="F96" s="24" t="str">
        <f>Ktmp!F96</f>
        <v/>
      </c>
      <c r="G96" s="25" t="str">
        <f>Ktmp!G96</f>
        <v/>
      </c>
      <c r="H96" s="39" t="str">
        <f>Ktmp!H96</f>
        <v/>
      </c>
      <c r="I96" s="39" t="str">
        <f>Ktmp!I96</f>
        <v/>
      </c>
      <c r="J96" s="26" t="str">
        <f t="shared" si="1"/>
        <v>ГРУЗ-ЭКСПРЕСС</v>
      </c>
      <c r="K96" s="1"/>
    </row>
    <row r="97" spans="1:12" ht="24" x14ac:dyDescent="0.2">
      <c r="A97" s="16">
        <v>90</v>
      </c>
      <c r="B97" s="38" t="str">
        <f>Ktmp!B97</f>
        <v/>
      </c>
      <c r="C97" s="38" t="str">
        <f>Ktmp!C97</f>
        <v/>
      </c>
      <c r="D97" s="34"/>
      <c r="E97" s="24" t="str">
        <f>Ktmp!E97</f>
        <v/>
      </c>
      <c r="F97" s="24" t="str">
        <f>Ktmp!F97</f>
        <v/>
      </c>
      <c r="G97" s="25" t="str">
        <f>Ktmp!G97</f>
        <v/>
      </c>
      <c r="H97" s="39" t="str">
        <f>Ktmp!H97</f>
        <v/>
      </c>
      <c r="I97" s="39" t="str">
        <f>Ktmp!I97</f>
        <v/>
      </c>
      <c r="J97" s="26" t="str">
        <f t="shared" si="1"/>
        <v>ГРУЗ-ЭКСПРЕСС</v>
      </c>
      <c r="K97" s="1"/>
    </row>
    <row r="98" spans="1:12" ht="24" x14ac:dyDescent="0.2">
      <c r="A98" s="16">
        <v>91</v>
      </c>
      <c r="B98" s="38" t="str">
        <f>Ktmp!B98</f>
        <v/>
      </c>
      <c r="C98" s="38" t="str">
        <f>Ktmp!C98</f>
        <v/>
      </c>
      <c r="D98" s="34"/>
      <c r="E98" s="24" t="str">
        <f>Ktmp!E98</f>
        <v/>
      </c>
      <c r="F98" s="24" t="str">
        <f>Ktmp!F98</f>
        <v/>
      </c>
      <c r="G98" s="25" t="str">
        <f>Ktmp!G98</f>
        <v/>
      </c>
      <c r="H98" s="39" t="str">
        <f>Ktmp!H98</f>
        <v/>
      </c>
      <c r="I98" s="39" t="str">
        <f>Ktmp!I98</f>
        <v/>
      </c>
      <c r="J98" s="26" t="str">
        <f t="shared" si="1"/>
        <v>ГРУЗ-ЭКСПРЕСС</v>
      </c>
      <c r="K98" s="1"/>
    </row>
    <row r="99" spans="1:12" ht="24" x14ac:dyDescent="0.2">
      <c r="A99" s="16">
        <v>92</v>
      </c>
      <c r="B99" s="38" t="str">
        <f>Ktmp!B99</f>
        <v/>
      </c>
      <c r="C99" s="38" t="str">
        <f>Ktmp!C99</f>
        <v/>
      </c>
      <c r="D99" s="34"/>
      <c r="E99" s="24" t="str">
        <f>Ktmp!E99</f>
        <v/>
      </c>
      <c r="F99" s="24" t="str">
        <f>Ktmp!F99</f>
        <v/>
      </c>
      <c r="G99" s="25" t="str">
        <f>Ktmp!G99</f>
        <v/>
      </c>
      <c r="H99" s="39" t="str">
        <f>Ktmp!H99</f>
        <v/>
      </c>
      <c r="I99" s="39" t="str">
        <f>Ktmp!I99</f>
        <v/>
      </c>
      <c r="J99" s="26" t="str">
        <f t="shared" si="1"/>
        <v>ГРУЗ-ЭКСПРЕСС</v>
      </c>
      <c r="K99" s="1"/>
    </row>
    <row r="100" spans="1:12" ht="24" x14ac:dyDescent="0.2">
      <c r="A100" s="16">
        <v>93</v>
      </c>
      <c r="B100" s="38" t="str">
        <f>Ktmp!B100</f>
        <v/>
      </c>
      <c r="C100" s="38" t="str">
        <f>Ktmp!C100</f>
        <v/>
      </c>
      <c r="D100" s="34"/>
      <c r="E100" s="24" t="str">
        <f>Ktmp!E100</f>
        <v/>
      </c>
      <c r="F100" s="24" t="str">
        <f>Ktmp!F100</f>
        <v/>
      </c>
      <c r="G100" s="25" t="str">
        <f>Ktmp!G100</f>
        <v/>
      </c>
      <c r="H100" s="39" t="str">
        <f>Ktmp!H100</f>
        <v/>
      </c>
      <c r="I100" s="39" t="str">
        <f>Ktmp!I100</f>
        <v/>
      </c>
      <c r="J100" s="26" t="str">
        <f t="shared" si="1"/>
        <v>ГРУЗ-ЭКСПРЕСС</v>
      </c>
      <c r="K100" s="1"/>
    </row>
    <row r="101" spans="1:12" ht="24" x14ac:dyDescent="0.2">
      <c r="A101" s="16">
        <v>94</v>
      </c>
      <c r="B101" s="38" t="str">
        <f>Ktmp!B101</f>
        <v/>
      </c>
      <c r="C101" s="38" t="str">
        <f>Ktmp!C101</f>
        <v/>
      </c>
      <c r="D101" s="34"/>
      <c r="E101" s="24" t="str">
        <f>Ktmp!E101</f>
        <v/>
      </c>
      <c r="F101" s="24" t="str">
        <f>Ktmp!F101</f>
        <v/>
      </c>
      <c r="G101" s="25" t="str">
        <f>Ktmp!G101</f>
        <v/>
      </c>
      <c r="H101" s="39" t="str">
        <f>Ktmp!H101</f>
        <v/>
      </c>
      <c r="I101" s="39" t="str">
        <f>Ktmp!I101</f>
        <v/>
      </c>
      <c r="J101" s="26" t="str">
        <f t="shared" si="1"/>
        <v>ГРУЗ-ЭКСПРЕСС</v>
      </c>
      <c r="K101" s="1"/>
    </row>
    <row r="102" spans="1:12" ht="24" x14ac:dyDescent="0.2">
      <c r="A102" s="16">
        <v>95</v>
      </c>
      <c r="B102" s="38" t="str">
        <f>Ktmp!B102</f>
        <v/>
      </c>
      <c r="C102" s="38" t="str">
        <f>Ktmp!C102</f>
        <v/>
      </c>
      <c r="D102" s="34"/>
      <c r="E102" s="24" t="str">
        <f>Ktmp!E102</f>
        <v/>
      </c>
      <c r="F102" s="24" t="str">
        <f>Ktmp!F102</f>
        <v/>
      </c>
      <c r="G102" s="25" t="str">
        <f>Ktmp!G102</f>
        <v/>
      </c>
      <c r="H102" s="39" t="str">
        <f>Ktmp!H102</f>
        <v/>
      </c>
      <c r="I102" s="39" t="str">
        <f>Ktmp!I102</f>
        <v/>
      </c>
      <c r="J102" s="26" t="str">
        <f t="shared" si="1"/>
        <v>ГРУЗ-ЭКСПРЕСС</v>
      </c>
      <c r="K102" s="1"/>
    </row>
    <row r="103" spans="1:12" ht="24" x14ac:dyDescent="0.2">
      <c r="A103" s="16">
        <v>96</v>
      </c>
      <c r="B103" s="38" t="str">
        <f>Ktmp!B103</f>
        <v/>
      </c>
      <c r="C103" s="38" t="str">
        <f>Ktmp!C103</f>
        <v/>
      </c>
      <c r="D103" s="34"/>
      <c r="E103" s="24" t="str">
        <f>Ktmp!E103</f>
        <v/>
      </c>
      <c r="F103" s="24" t="str">
        <f>Ktmp!F103</f>
        <v/>
      </c>
      <c r="G103" s="25" t="str">
        <f>Ktmp!G103</f>
        <v/>
      </c>
      <c r="H103" s="39" t="str">
        <f>Ktmp!H103</f>
        <v/>
      </c>
      <c r="I103" s="39" t="str">
        <f>Ktmp!I103</f>
        <v/>
      </c>
      <c r="J103" s="26" t="str">
        <f t="shared" si="1"/>
        <v>ГРУЗ-ЭКСПРЕСС</v>
      </c>
      <c r="K103" s="1"/>
    </row>
    <row r="104" spans="1:12" ht="24" x14ac:dyDescent="0.2">
      <c r="A104" s="16">
        <v>97</v>
      </c>
      <c r="B104" s="38" t="str">
        <f>Ktmp!B104</f>
        <v/>
      </c>
      <c r="C104" s="38" t="str">
        <f>Ktmp!C104</f>
        <v/>
      </c>
      <c r="D104" s="34"/>
      <c r="E104" s="24" t="str">
        <f>Ktmp!E104</f>
        <v/>
      </c>
      <c r="F104" s="24" t="str">
        <f>Ktmp!F104</f>
        <v/>
      </c>
      <c r="G104" s="25" t="str">
        <f>Ktmp!G104</f>
        <v/>
      </c>
      <c r="H104" s="39" t="str">
        <f>Ktmp!H104</f>
        <v/>
      </c>
      <c r="I104" s="39" t="str">
        <f>Ktmp!I104</f>
        <v/>
      </c>
      <c r="J104" s="26" t="str">
        <f t="shared" si="1"/>
        <v>ГРУЗ-ЭКСПРЕСС</v>
      </c>
      <c r="K104" s="1"/>
    </row>
    <row r="105" spans="1:12" ht="24" x14ac:dyDescent="0.2">
      <c r="A105" s="16">
        <v>98</v>
      </c>
      <c r="B105" s="38" t="str">
        <f>Ktmp!B105</f>
        <v/>
      </c>
      <c r="C105" s="38" t="str">
        <f>Ktmp!C105</f>
        <v/>
      </c>
      <c r="D105" s="34"/>
      <c r="E105" s="24" t="str">
        <f>Ktmp!E105</f>
        <v/>
      </c>
      <c r="F105" s="24" t="str">
        <f>Ktmp!F105</f>
        <v/>
      </c>
      <c r="G105" s="25" t="str">
        <f>Ktmp!G105</f>
        <v/>
      </c>
      <c r="H105" s="39" t="str">
        <f>Ktmp!H105</f>
        <v/>
      </c>
      <c r="I105" s="39" t="str">
        <f>Ktmp!I105</f>
        <v/>
      </c>
      <c r="J105" s="26" t="str">
        <f t="shared" si="1"/>
        <v>ГРУЗ-ЭКСПРЕСС</v>
      </c>
      <c r="K105" s="1"/>
    </row>
    <row r="106" spans="1:12" ht="24" x14ac:dyDescent="0.2">
      <c r="A106" s="16">
        <v>99</v>
      </c>
      <c r="B106" s="38" t="str">
        <f>Ktmp!B106</f>
        <v/>
      </c>
      <c r="C106" s="38" t="str">
        <f>Ktmp!C106</f>
        <v/>
      </c>
      <c r="D106" s="34"/>
      <c r="E106" s="24" t="str">
        <f>Ktmp!E106</f>
        <v/>
      </c>
      <c r="F106" s="24" t="str">
        <f>Ktmp!F106</f>
        <v/>
      </c>
      <c r="G106" s="25" t="str">
        <f>Ktmp!G106</f>
        <v/>
      </c>
      <c r="H106" s="39" t="str">
        <f>Ktmp!H106</f>
        <v/>
      </c>
      <c r="I106" s="39" t="str">
        <f>Ktmp!I106</f>
        <v/>
      </c>
      <c r="J106" s="26" t="str">
        <f t="shared" si="1"/>
        <v>ГРУЗ-ЭКСПРЕСС</v>
      </c>
      <c r="K106" s="1"/>
    </row>
    <row r="107" spans="1:12" ht="24.75" thickBot="1" x14ac:dyDescent="0.25">
      <c r="A107" s="16">
        <v>100</v>
      </c>
      <c r="B107" s="38" t="str">
        <f>Ktmp!B107</f>
        <v/>
      </c>
      <c r="C107" s="38" t="str">
        <f>Ktmp!C107</f>
        <v/>
      </c>
      <c r="D107" s="34"/>
      <c r="E107" s="24" t="str">
        <f>Ktmp!E107</f>
        <v/>
      </c>
      <c r="F107" s="24" t="str">
        <f>Ktmp!F107</f>
        <v/>
      </c>
      <c r="G107" s="25" t="str">
        <f>Ktmp!G107</f>
        <v/>
      </c>
      <c r="H107" s="39" t="str">
        <f>Ktmp!H107</f>
        <v/>
      </c>
      <c r="I107" s="39" t="str">
        <f>Ktmp!I107</f>
        <v/>
      </c>
      <c r="J107" s="26" t="str">
        <f t="shared" si="1"/>
        <v>ГРУЗ-ЭКСПРЕСС</v>
      </c>
      <c r="K107" s="1"/>
    </row>
    <row r="108" spans="1:12" ht="15.75" thickTop="1" thickBot="1" x14ac:dyDescent="0.25">
      <c r="A108" s="21"/>
      <c r="B108" s="21"/>
      <c r="C108" s="21"/>
      <c r="D108" s="21"/>
      <c r="E108" s="21"/>
      <c r="F108" s="22"/>
      <c r="G108" s="17" t="s">
        <v>6</v>
      </c>
      <c r="H108" s="18">
        <f>SUM(H8:H107)</f>
        <v>8</v>
      </c>
      <c r="I108" s="19">
        <f>SUM(I8:I107)</f>
        <v>73.399999999999991</v>
      </c>
      <c r="J108" s="23"/>
      <c r="K108" s="14"/>
      <c r="L108" s="1"/>
    </row>
    <row r="109" spans="1:12" ht="15.75" thickTop="1" x14ac:dyDescent="0.2">
      <c r="A109" s="11" t="s">
        <v>7</v>
      </c>
      <c r="B109" s="12"/>
      <c r="C109" s="59">
        <f ca="1">TODAY()</f>
        <v>44299</v>
      </c>
      <c r="D109" s="59"/>
      <c r="E109" s="59"/>
      <c r="F109" s="12"/>
      <c r="G109" s="12"/>
      <c r="H109" s="12"/>
      <c r="I109" s="12"/>
      <c r="J109" s="12"/>
    </row>
    <row r="110" spans="1:12" ht="15" x14ac:dyDescent="0.2">
      <c r="A110" s="13" t="s">
        <v>14</v>
      </c>
      <c r="B110" s="12"/>
      <c r="C110" s="12" t="s">
        <v>12</v>
      </c>
      <c r="D110" s="12"/>
      <c r="E110" s="12"/>
      <c r="F110" s="12" t="s">
        <v>11</v>
      </c>
      <c r="G110" s="12"/>
      <c r="H110" s="12" t="s">
        <v>9</v>
      </c>
      <c r="J110" s="12"/>
    </row>
    <row r="111" spans="1:12" ht="15" x14ac:dyDescent="0.2">
      <c r="A111" s="13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2" ht="15" x14ac:dyDescent="0.2">
      <c r="A112" s="13" t="s">
        <v>13</v>
      </c>
      <c r="B112" s="12"/>
      <c r="C112" s="12" t="s">
        <v>12</v>
      </c>
      <c r="D112" s="12"/>
      <c r="E112" s="12"/>
      <c r="F112" s="12" t="s">
        <v>8</v>
      </c>
      <c r="G112" s="12"/>
      <c r="H112" s="12"/>
      <c r="I112" s="12"/>
      <c r="J112" s="12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3">
    <mergeCell ref="C1:D1"/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L17"/>
  <sheetViews>
    <sheetView tabSelected="1"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27" t="str">
        <f>CONCATENATE("Манифест №",MID(Ktmp!A1,40,10)," от ",MID(Ktmp!A1,40,10))</f>
        <v xml:space="preserve">Манифест № от </v>
      </c>
      <c r="B1" s="4"/>
      <c r="C1" s="60">
        <f ca="1">TODAY()</f>
        <v>44299</v>
      </c>
      <c r="D1" s="61"/>
      <c r="E1" s="5"/>
      <c r="F1" s="6"/>
      <c r="G1" s="57" t="s">
        <v>40</v>
      </c>
      <c r="H1" s="6"/>
      <c r="I1" s="6"/>
      <c r="J1" s="6"/>
    </row>
    <row r="2" spans="1:12" x14ac:dyDescent="0.2">
      <c r="A2" s="7" t="s">
        <v>3</v>
      </c>
      <c r="B2" s="8"/>
      <c r="C2" t="s">
        <v>19</v>
      </c>
      <c r="D2" s="57"/>
      <c r="E2" s="57"/>
      <c r="F2" s="7"/>
      <c r="G2" s="8" t="s">
        <v>19</v>
      </c>
      <c r="H2" s="8"/>
      <c r="I2" s="8"/>
      <c r="J2" s="7"/>
    </row>
    <row r="3" spans="1:12" ht="12.75" customHeight="1" x14ac:dyDescent="0.2">
      <c r="A3" s="7"/>
      <c r="B3" s="57"/>
      <c r="C3" s="58" t="s">
        <v>17</v>
      </c>
      <c r="D3" s="58"/>
      <c r="E3" s="58"/>
      <c r="F3" s="58"/>
      <c r="G3" s="15" t="s">
        <v>17</v>
      </c>
      <c r="H3" s="9"/>
      <c r="I3" s="9"/>
      <c r="J3" s="9"/>
      <c r="K3" s="3"/>
    </row>
    <row r="4" spans="1:12" ht="14.25" customHeight="1" x14ac:dyDescent="0.2">
      <c r="A4" s="7" t="s">
        <v>4</v>
      </c>
      <c r="B4" s="8"/>
      <c r="C4" s="2" t="s">
        <v>20</v>
      </c>
      <c r="D4" s="57"/>
      <c r="E4" s="57"/>
      <c r="F4" s="7"/>
      <c r="G4" s="8" t="s">
        <v>26</v>
      </c>
      <c r="H4" s="10"/>
      <c r="I4" s="10"/>
      <c r="J4" s="7"/>
      <c r="K4" s="1"/>
    </row>
    <row r="5" spans="1:12" x14ac:dyDescent="0.2">
      <c r="A5" s="7"/>
      <c r="B5" s="57"/>
      <c r="C5" t="s">
        <v>18</v>
      </c>
      <c r="D5" s="57"/>
      <c r="E5" s="57"/>
      <c r="F5" s="7"/>
      <c r="G5" s="20"/>
      <c r="H5" s="7"/>
      <c r="I5" s="7"/>
      <c r="J5" s="7"/>
      <c r="K5" s="1"/>
    </row>
    <row r="6" spans="1:12" ht="13.5" thickBot="1" x14ac:dyDescent="0.25">
      <c r="A6" s="7" t="s">
        <v>5</v>
      </c>
      <c r="B6" s="7"/>
      <c r="C6" s="7"/>
      <c r="D6" s="7"/>
      <c r="E6" s="7"/>
      <c r="F6" s="7"/>
      <c r="G6" s="7"/>
      <c r="H6" s="7"/>
      <c r="I6" s="7"/>
      <c r="J6" s="7"/>
      <c r="K6" s="1"/>
    </row>
    <row r="7" spans="1:12" s="33" customFormat="1" ht="18" customHeight="1" thickTop="1" x14ac:dyDescent="0.2">
      <c r="A7" s="29" t="s">
        <v>23</v>
      </c>
      <c r="B7" s="30" t="s">
        <v>22</v>
      </c>
      <c r="C7" s="30" t="s">
        <v>15</v>
      </c>
      <c r="D7" s="30" t="s">
        <v>24</v>
      </c>
      <c r="E7" s="30" t="s">
        <v>0</v>
      </c>
      <c r="F7" s="30" t="s">
        <v>10</v>
      </c>
      <c r="G7" s="30" t="s">
        <v>1</v>
      </c>
      <c r="H7" s="30" t="s">
        <v>2</v>
      </c>
      <c r="I7" s="30" t="s">
        <v>21</v>
      </c>
      <c r="J7" s="31" t="s">
        <v>16</v>
      </c>
      <c r="K7" s="32"/>
    </row>
    <row r="8" spans="1:12" ht="25.5" x14ac:dyDescent="0.2">
      <c r="A8" s="16">
        <v>1</v>
      </c>
      <c r="B8" s="38" t="str">
        <f>Ktmp!B8</f>
        <v>24-1843-7439</v>
      </c>
      <c r="C8" s="38">
        <f>Ktmp!C8</f>
        <v>1962892</v>
      </c>
      <c r="D8" s="34">
        <f>Ktmp!D8</f>
        <v>0</v>
      </c>
      <c r="E8" s="24" t="str">
        <f>Ktmp!E8</f>
        <v>СИБЭЛЕКТРОКОМПЛЕКТ / николаева</v>
      </c>
      <c r="F8" s="24">
        <f>Ktmp!F8</f>
        <v>3832090769</v>
      </c>
      <c r="G8" s="25" t="str">
        <f>Ktmp!G8</f>
        <v>630073, Новосибирская область, Новосибирск город, Горский микрорайон, 8а</v>
      </c>
      <c r="H8" s="39">
        <f>Ktmp!H8</f>
        <v>1</v>
      </c>
      <c r="I8" s="39">
        <f>Ktmp!I8</f>
        <v>8.3000000000000007</v>
      </c>
      <c r="J8" s="26" t="str">
        <f>IF(Ktmp!J8="Экспресс",IF(I8&gt;=20,CONCATENATE("Груз-",Ktmp!J8),CONCATENATE("Почта-",Ktmp!J8)),Ktmp!J8)</f>
        <v>Почта-Экспресс</v>
      </c>
      <c r="K8" s="1"/>
    </row>
    <row r="9" spans="1:12" ht="26.25" thickBot="1" x14ac:dyDescent="0.25">
      <c r="A9" s="16">
        <v>2</v>
      </c>
      <c r="B9" s="38" t="str">
        <f>Ktmp!B9</f>
        <v>24-1843-7450</v>
      </c>
      <c r="C9" s="38">
        <f>Ktmp!C9</f>
        <v>1912837</v>
      </c>
      <c r="D9" s="34">
        <f>Ktmp!D9</f>
        <v>0</v>
      </c>
      <c r="E9" s="24" t="str">
        <f>Ktmp!E9</f>
        <v>ЭЛТЕХ КОМПОНЕНТ / Медведева</v>
      </c>
      <c r="F9" s="24">
        <f>Ktmp!F9</f>
        <v>3433114228</v>
      </c>
      <c r="G9" s="25" t="str">
        <f>Ktmp!G9</f>
        <v>620000, Свердловская область, Екатеринбург город, Циолковского ул., 34</v>
      </c>
      <c r="H9" s="39">
        <f>Ktmp!H9</f>
        <v>7</v>
      </c>
      <c r="I9" s="39">
        <f>Ktmp!I9</f>
        <v>65.099999999999994</v>
      </c>
      <c r="J9" s="26" t="str">
        <f>IF(Ktmp!J9="Экспресс",IF(I9&gt;=20,CONCATENATE("Груз-",Ktmp!J9),CONCATENATE("Почта-",Ktmp!J9)),Ktmp!J9)</f>
        <v>Груз-Экспресс</v>
      </c>
      <c r="K9" s="1"/>
    </row>
    <row r="10" spans="1:12" ht="15.75" thickTop="1" thickBot="1" x14ac:dyDescent="0.25">
      <c r="A10" s="21"/>
      <c r="B10" s="21"/>
      <c r="C10" s="21"/>
      <c r="D10" s="21"/>
      <c r="E10" s="21"/>
      <c r="F10" s="22"/>
      <c r="G10" s="17" t="s">
        <v>6</v>
      </c>
      <c r="H10" s="18">
        <f>SUM(H8:H9)</f>
        <v>8</v>
      </c>
      <c r="I10" s="19">
        <f>SUM(I8:I9)</f>
        <v>73.399999999999991</v>
      </c>
      <c r="J10" s="23"/>
      <c r="K10" s="14"/>
      <c r="L10" s="1"/>
    </row>
    <row r="11" spans="1:12" ht="15.75" thickTop="1" x14ac:dyDescent="0.2">
      <c r="A11" s="11" t="s">
        <v>7</v>
      </c>
      <c r="B11" s="12"/>
      <c r="C11" s="59">
        <f ca="1">TODAY()</f>
        <v>44299</v>
      </c>
      <c r="D11" s="59"/>
      <c r="E11" s="59"/>
      <c r="F11" s="12"/>
      <c r="G11" s="12"/>
      <c r="H11" s="12"/>
      <c r="I11" s="12"/>
      <c r="J11" s="12"/>
    </row>
    <row r="12" spans="1:12" ht="15" x14ac:dyDescent="0.2">
      <c r="A12" s="13" t="s">
        <v>14</v>
      </c>
      <c r="B12" s="12"/>
      <c r="C12" s="12" t="s">
        <v>12</v>
      </c>
      <c r="D12" s="12"/>
      <c r="E12" s="12"/>
      <c r="F12" s="12" t="s">
        <v>11</v>
      </c>
      <c r="G12" s="12"/>
      <c r="H12" s="12" t="s">
        <v>9</v>
      </c>
      <c r="J12" s="12"/>
    </row>
    <row r="13" spans="1:12" ht="15" x14ac:dyDescent="0.2">
      <c r="A13" s="13"/>
      <c r="B13" s="12"/>
      <c r="C13" s="12"/>
      <c r="D13" s="12"/>
      <c r="E13" s="12"/>
      <c r="F13" s="12"/>
      <c r="G13" s="12"/>
      <c r="H13" s="12"/>
      <c r="I13" s="12"/>
      <c r="J13" s="12"/>
    </row>
    <row r="14" spans="1:12" ht="15" x14ac:dyDescent="0.2">
      <c r="A14" s="13" t="s">
        <v>13</v>
      </c>
      <c r="B14" s="12"/>
      <c r="C14" s="12" t="s">
        <v>12</v>
      </c>
      <c r="D14" s="12"/>
      <c r="E14" s="12"/>
      <c r="F14" s="12" t="s">
        <v>8</v>
      </c>
      <c r="G14" s="12"/>
      <c r="H14" s="12"/>
      <c r="I14" s="12"/>
      <c r="J14" s="12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"/>
      <c r="B17" s="1"/>
      <c r="C17" s="1"/>
      <c r="D17" s="1"/>
      <c r="E17" s="1"/>
      <c r="F17" s="1"/>
      <c r="G17" s="1"/>
      <c r="H17" s="1"/>
      <c r="I17" s="1"/>
      <c r="J17" s="1"/>
    </row>
  </sheetData>
  <mergeCells count="3">
    <mergeCell ref="C1:D1"/>
    <mergeCell ref="C3:F3"/>
    <mergeCell ref="C11:E1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Ktmp</vt:lpstr>
      <vt:lpstr>Kend</vt:lpstr>
      <vt:lpstr>Kend (3)</vt:lpstr>
      <vt:lpstr>Kend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Никита</cp:lastModifiedBy>
  <cp:lastPrinted>2018-11-02T14:35:27Z</cp:lastPrinted>
  <dcterms:created xsi:type="dcterms:W3CDTF">1996-10-08T23:32:33Z</dcterms:created>
  <dcterms:modified xsi:type="dcterms:W3CDTF">2021-04-13T12:35:20Z</dcterms:modified>
</cp:coreProperties>
</file>